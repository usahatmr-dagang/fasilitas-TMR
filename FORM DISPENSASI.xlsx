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5" sheetId="1" r:id="rId5"/>
    <sheet state="visible" name="Dispensasi" sheetId="2" r:id="rId6"/>
    <sheet state="visible" name="2026" sheetId="3" r:id="rId7"/>
    <sheet state="visible" name="Sheet12" sheetId="4" r:id="rId8"/>
    <sheet state="visible" name="Sheet15" sheetId="5" r:id="rId9"/>
    <sheet state="visible" name="Sheet3" sheetId="6" r:id="rId10"/>
  </sheets>
  <definedNames/>
  <calcPr/>
</workbook>
</file>

<file path=xl/sharedStrings.xml><?xml version="1.0" encoding="utf-8"?>
<sst xmlns="http://schemas.openxmlformats.org/spreadsheetml/2006/main" count="2999" uniqueCount="1662">
  <si>
    <t>No</t>
  </si>
  <si>
    <t>Nomor Surat</t>
  </si>
  <si>
    <t xml:space="preserve"> </t>
  </si>
  <si>
    <t>Nama Rombongan / Instansi</t>
  </si>
  <si>
    <t>NOPOL</t>
  </si>
  <si>
    <t>Tanggal Kunjungan</t>
  </si>
  <si>
    <t>Keperluan</t>
  </si>
  <si>
    <t>Jam Loading</t>
  </si>
  <si>
    <t>PEMERINTAH PROVINSI DAERAH KHUSUS IBU KOTA JAKARTA</t>
  </si>
  <si>
    <t>AGUSTUS</t>
  </si>
  <si>
    <t xml:space="preserve">Two thumbs Ice cream </t>
  </si>
  <si>
    <t>2 Dewasa 2 Mobil (                  ) (                    )</t>
  </si>
  <si>
    <t>8,9,10,11,17,18, 24 januari 2026</t>
  </si>
  <si>
    <t>Loading Barang Promo</t>
  </si>
  <si>
    <t>maksimal  06 :00 WIB</t>
  </si>
  <si>
    <t>Dispensasi</t>
  </si>
  <si>
    <t>TANGGAL</t>
  </si>
  <si>
    <t>NO</t>
  </si>
  <si>
    <t>TGL</t>
  </si>
  <si>
    <t>BLN</t>
  </si>
  <si>
    <t>KET</t>
  </si>
  <si>
    <t>THN</t>
  </si>
  <si>
    <t>JUMLAH KARTU/PCS</t>
  </si>
  <si>
    <t>JUMLAH KARTU/PCS 2</t>
  </si>
  <si>
    <t>koperasi guru jatiasih</t>
  </si>
  <si>
    <t>3 mobil ( B 2107 BRJ ) ( B 2723 YC ) ( B 2177 KYC )</t>
  </si>
  <si>
    <t>Ibu Dina Stikes</t>
  </si>
  <si>
    <t>4 Mobil : B 2090 PIE , B 9784 LS, ELF 7503-06, (B.             )</t>
  </si>
  <si>
    <t>DINAS PERTAMANAN DAN HUTAN KOTA</t>
  </si>
  <si>
    <t>Loading Barang Ke Lapangan Timur Gajah</t>
  </si>
  <si>
    <t>UNIT PENGELOLA TAMAN MARGASATWA RAGUNAN</t>
  </si>
  <si>
    <t xml:space="preserve"> 07,00 s/d 07,30 WIB.</t>
  </si>
  <si>
    <t xml:space="preserve">loading barang gedung serbaguna </t>
  </si>
  <si>
    <t xml:space="preserve"> 06,00 s/d 07,30 WIB.</t>
  </si>
  <si>
    <t>ibu sulistiawati</t>
  </si>
  <si>
    <t xml:space="preserve">1 mobil (B 1986 TVB) </t>
  </si>
  <si>
    <t>loading barang pendopo TSA 3</t>
  </si>
  <si>
    <t>PT. Rentokil Indonesia</t>
  </si>
  <si>
    <t>2 Mobil : B 9523 BXB, B 9174 BCR</t>
  </si>
  <si>
    <t>https://docs.google.com/spreadsheets/d/1GIYP3gKlwKD1FjOm9J1bBxcXXS3yi7xxxQRVqMkhHXI/edit?gid=677168732#gid=677168732</t>
  </si>
  <si>
    <t xml:space="preserve">Loading Barang Ke Taman Satwa Anak Pendopo 1 &amp; 4 </t>
  </si>
  <si>
    <t>TK. Islam Daruttaqwa</t>
  </si>
  <si>
    <t>1 Motor : B 5603 TMG</t>
  </si>
  <si>
    <t>Loading Barang Ke Taman Satwa Anak Pendopo 4</t>
  </si>
  <si>
    <t>Jalan harsono RM. No. 1 Ragunan, Telp (021) 7820015 fax. (021) 7805280</t>
  </si>
  <si>
    <t>PT. OHP / Mayora</t>
  </si>
  <si>
    <t>6 dewasa , 1 mobil</t>
  </si>
  <si>
    <t>3 Hari , 5, 6, 7 September 2025</t>
  </si>
  <si>
    <r>
      <rPr>
        <rFont val="Arial"/>
        <sz val="15.0"/>
      </rPr>
      <t xml:space="preserve">website : </t>
    </r>
    <r>
      <rPr>
        <rFont val="Arial"/>
        <color rgb="FF1155CC"/>
        <sz val="15.0"/>
        <u/>
      </rPr>
      <t>www.ragunanzoo.jakarta.go.id</t>
    </r>
    <r>
      <rPr>
        <rFont val="Arial"/>
        <sz val="15.0"/>
      </rPr>
      <t xml:space="preserve"> e-mail : ragunanzoo@jakarta.go.id</t>
    </r>
  </si>
  <si>
    <t>PT. DOMINOS</t>
  </si>
  <si>
    <t>2 Dewasa 1 Mobil (             ) 1 Motor(                    )</t>
  </si>
  <si>
    <t>SUKJ</t>
  </si>
  <si>
    <t>10, 11, 12, 17, 18, 24, 25, 31 Januari dan 1, 7 Februari 2026</t>
  </si>
  <si>
    <t>PT. Pioneerindo Gourmet Internasional tbk call donat</t>
  </si>
  <si>
    <t>JAKARTA</t>
  </si>
  <si>
    <t>Kode Pos : 12550</t>
  </si>
  <si>
    <t>DISPENSASI</t>
  </si>
  <si>
    <t>NOMOR :</t>
  </si>
  <si>
    <t>GPIB PS. MINGGU</t>
  </si>
  <si>
    <t>1 Mobil : B 1183 DFS</t>
  </si>
  <si>
    <t>Loading Barang Ke Lapangan ATM Informasi</t>
  </si>
  <si>
    <t>2 Dewasa 1 Mobil (                 ) 1 Motor (                  )</t>
  </si>
  <si>
    <t>10,11,17,18,24,25,31 Januari dan 01 Februari 2026</t>
  </si>
  <si>
    <t>MUHAJIR</t>
  </si>
  <si>
    <t>1 Mobil B 9514 SRU</t>
  </si>
  <si>
    <t>PT PIONEERINDO GOURMET INT</t>
  </si>
  <si>
    <t>2 Dewasa 1 Mobil (                  )</t>
  </si>
  <si>
    <t>Loading barang ke LAp Gajah Timur</t>
  </si>
  <si>
    <t>RICO</t>
  </si>
  <si>
    <t>1 Mobi R 1827 FP</t>
  </si>
  <si>
    <t>Loading barang ke Taman Satwa Anak Pendopo 1</t>
  </si>
  <si>
    <t>Miyarni</t>
  </si>
  <si>
    <t>1 Mobil B 2161 FYA</t>
  </si>
  <si>
    <t>Loading barang ke Taman Satwa Anak Pendopo 4</t>
  </si>
  <si>
    <t>Paguyuban Haji Jagakarsa</t>
  </si>
  <si>
    <t>kartadinama</t>
  </si>
  <si>
    <t>1 Mobil B 1869 DKF</t>
  </si>
  <si>
    <t>Kepala Unit Pengelola Taman Margasatwa Ragunan Provinsi DKI Jakarta memberikan ijin kepada :</t>
  </si>
  <si>
    <t>1 mobil B 1933 SRQ</t>
  </si>
  <si>
    <t>Need's</t>
  </si>
  <si>
    <t xml:space="preserve">loading barang </t>
  </si>
  <si>
    <t>Nama Rombongan</t>
  </si>
  <si>
    <t>BSI</t>
  </si>
  <si>
    <t xml:space="preserve">1 Mobil ( B 1894 DYF ) </t>
  </si>
  <si>
    <t>8 Dewasa, 4 Mobil</t>
  </si>
  <si>
    <t>Loading Barang Pendopo TSA 3</t>
  </si>
  <si>
    <t>4 Hari, 20,21, 27 dan 28 Sept 2025</t>
  </si>
  <si>
    <t>Loading barang</t>
  </si>
  <si>
    <t>Jus Antara</t>
  </si>
  <si>
    <t>3 Dewasa 1 Mobil</t>
  </si>
  <si>
    <t>BP. MADIO SUWITO GOMBONG</t>
  </si>
  <si>
    <t>1 Mobil B 1165 EYR</t>
  </si>
  <si>
    <t>:</t>
  </si>
  <si>
    <t>Loading barang  LAP ATM 3</t>
  </si>
  <si>
    <t>Frosty Ice Cream</t>
  </si>
  <si>
    <t>2 Hari 20, 21 September 2025</t>
  </si>
  <si>
    <t>Loading barang promo</t>
  </si>
  <si>
    <t>Two thumbs ice cream</t>
  </si>
  <si>
    <t>adi limitless</t>
  </si>
  <si>
    <t>3 mobil , F 1872 AAQ, B 2803 SIH, Lalamove</t>
  </si>
  <si>
    <t>2 Dewasa 2 Mobil (                     ) (                           )</t>
  </si>
  <si>
    <t>16 dan 25 Januari 2026</t>
  </si>
  <si>
    <t xml:space="preserve">SDTQ Imam Syafi'i </t>
  </si>
  <si>
    <t>2 mobil ( B 2914 SRD ) ( B 8322 BW )</t>
  </si>
  <si>
    <t>8 febuari 2026</t>
  </si>
  <si>
    <t xml:space="preserve">loading barang aula serbaguna </t>
  </si>
  <si>
    <t>OISHI</t>
  </si>
  <si>
    <t>4 Dewasa 1 Mobil (                  )</t>
  </si>
  <si>
    <t>16,17,18,25,31, Januari 2026</t>
  </si>
  <si>
    <t>Biller Pane</t>
  </si>
  <si>
    <t>1 mobil (B 1073 FYZ )</t>
  </si>
  <si>
    <t>loadiing barang aula serbaguna</t>
  </si>
  <si>
    <t>loading barang</t>
  </si>
  <si>
    <t>DHORID</t>
  </si>
  <si>
    <t>Ashar Arsyad</t>
  </si>
  <si>
    <t>1 mobil (B 1210 WN)</t>
  </si>
  <si>
    <t>18, 25 JANUARI DAN 1, 8 FEBRUARI 2026</t>
  </si>
  <si>
    <t>LOADING BARANG PROMO</t>
  </si>
  <si>
    <t xml:space="preserve">Arisan Mak Ijah </t>
  </si>
  <si>
    <t>1 mobil, B 1491 FYL</t>
  </si>
  <si>
    <t>1 Mobil ( B 9498 EUC )</t>
  </si>
  <si>
    <t>Loading Barang Pendopo TSA 4</t>
  </si>
  <si>
    <t>loadiing barang aula TSA</t>
  </si>
  <si>
    <t>IGTKI KECAMATAN JAGAKARSA</t>
  </si>
  <si>
    <t>1 MOBIL ( F 1766 LA )</t>
  </si>
  <si>
    <t>GPIB Markus Septi</t>
  </si>
  <si>
    <t xml:space="preserve"> 14,00 s/d 15,00 WIB.</t>
  </si>
  <si>
    <t>1 mobil, B1161 DKG</t>
  </si>
  <si>
    <t>loadiing barang lapaangan timur informasi</t>
  </si>
  <si>
    <t>4 Kendaraan TAXI ONLINE</t>
  </si>
  <si>
    <t>Loading Barang ke Gazebo</t>
  </si>
  <si>
    <t>PDGI Jakarta Selatan</t>
  </si>
  <si>
    <t>1 mobil, B 9240 WQO</t>
  </si>
  <si>
    <t>CV.Karya Insan Mandiri</t>
  </si>
  <si>
    <t>1 mobil (  D 8483 WI )</t>
  </si>
  <si>
    <t>loading tenda</t>
  </si>
  <si>
    <t>Nomor Kendaraan</t>
  </si>
  <si>
    <t>1 mobil, B 7562 JA</t>
  </si>
  <si>
    <t>ULS Jabodetabek ( Maman Keswan )</t>
  </si>
  <si>
    <t>3 mobil ( B 2048 KNI ) ( B 1133 KI ) ( B 2344 PBS )</t>
  </si>
  <si>
    <t>Standby saat Hari H (Pemeriksaan Baksos)</t>
  </si>
  <si>
    <t>Momogi</t>
  </si>
  <si>
    <t>4 Dewasa 1 Mobil</t>
  </si>
  <si>
    <t>2 Hari,  27 dan 28 September 2025</t>
  </si>
  <si>
    <t xml:space="preserve">Loading Barang </t>
  </si>
  <si>
    <t>SHASI</t>
  </si>
  <si>
    <t>1 Mobil B 2265 Box</t>
  </si>
  <si>
    <t>Taro FKS Food Sejahtera</t>
  </si>
  <si>
    <t xml:space="preserve">1 Mobil, 5 orang </t>
  </si>
  <si>
    <t>Loading Barang ke Pendopo 2 DI TSA</t>
  </si>
  <si>
    <t>24,25,31 Januari, 01 Februari 2026</t>
  </si>
  <si>
    <t>Loading Barang</t>
  </si>
  <si>
    <t>Pak jhony</t>
  </si>
  <si>
    <t>IBU YAYUK</t>
  </si>
  <si>
    <t>2 Mobil B 2898 SYF  dan (                           )</t>
  </si>
  <si>
    <t>D 1751 ES dan B 1972 EYA</t>
  </si>
  <si>
    <t xml:space="preserve">Loadiing barang lapangan teras informasi dan LAP TIMUR INF 2
</t>
  </si>
  <si>
    <t>Loading Barang ke Aula Serbaguna</t>
  </si>
  <si>
    <t>PHD</t>
  </si>
  <si>
    <t>2 Dewasa 2 motor</t>
  </si>
  <si>
    <t>28 September 2025 dan 5 oktober 2025</t>
  </si>
  <si>
    <t>Ikapureka</t>
  </si>
  <si>
    <t>1 Mobil ( B 219 RRF )</t>
  </si>
  <si>
    <t>Loading Barang Gazebo</t>
  </si>
  <si>
    <t>Koedsi bpk budi</t>
  </si>
  <si>
    <t>1 Mobil, B 2246 SIE</t>
  </si>
  <si>
    <t>Maria ( Pendopo 4 )</t>
  </si>
  <si>
    <t>Loading barang lapangan atm 4</t>
  </si>
  <si>
    <t>1 Mobil ( B 1541 URB )</t>
  </si>
  <si>
    <t>Ketentuan :</t>
  </si>
  <si>
    <t>Arisan Vena</t>
  </si>
  <si>
    <t>1 Mobil ( B 2636 UYX )</t>
  </si>
  <si>
    <t>Ibu iin indarwati</t>
  </si>
  <si>
    <t>1 Mobil ( B 1293 SRV )</t>
  </si>
  <si>
    <t>Loading Barang ke- TSA 2</t>
  </si>
  <si>
    <t xml:space="preserve">   </t>
  </si>
  <si>
    <t>Bani Hamim</t>
  </si>
  <si>
    <t>Gereja Pouk Citragrand Cibubur</t>
  </si>
  <si>
    <t>1 Mobil ( B 1794 KYT )</t>
  </si>
  <si>
    <t>1 Mobil ( B 1349 SZX )</t>
  </si>
  <si>
    <t>Loading Barang LAP TIMUR INF 1</t>
  </si>
  <si>
    <t>Loading Barang ke- TSA 4</t>
  </si>
  <si>
    <t>Domino's Pizza</t>
  </si>
  <si>
    <t>8, 14, 15 Februari dan 20, 21, 22, 23, 24 Maret 2026</t>
  </si>
  <si>
    <t>Keluarga AE</t>
  </si>
  <si>
    <t>Setelah selesai menurunkan barang, kendaraan kembali ke tempat parkir TMR dan tidak diperkenankan parkir ditempat acara ataupun berkeliling didalam kawasan TMR.</t>
  </si>
  <si>
    <t>1 Mobil ( B  2745 KMO )</t>
  </si>
  <si>
    <t>PT. Sumber Karya Pakarindo</t>
  </si>
  <si>
    <t>Loading Barang ke- TSA 3</t>
  </si>
  <si>
    <t>SD Muhammadiyah jak pus</t>
  </si>
  <si>
    <t>1 mobil B 1203  PFK</t>
  </si>
  <si>
    <t>Loading Barang ke- TSA 1</t>
  </si>
  <si>
    <t>Setiap pengantar barang wajib membayar tarif masuk berikut kendaraannya.</t>
  </si>
  <si>
    <t>4 Orang, 1 Mobil (                  ) 1 Motor (                   )</t>
  </si>
  <si>
    <t>1,7,8,14,15 februari dan 22,23,24,25,26,27,28,29 maret 2026</t>
  </si>
  <si>
    <t>1 Mobil (                         ), 1 Motor (                  ), 4 Dewasa</t>
  </si>
  <si>
    <t>4,5,11 dan 12 Pktober 2025</t>
  </si>
  <si>
    <t>NEEDS</t>
  </si>
  <si>
    <t>3 orang , 1 Mobil (                   )</t>
  </si>
  <si>
    <t xml:space="preserve">Jadwal loading dari hari selasa s/d Minggu, </t>
  </si>
  <si>
    <t>31 januari dan 1,7,8 febuari</t>
  </si>
  <si>
    <t>Call donat</t>
  </si>
  <si>
    <t>1 Mobil (                         ), 2 Motor (                  ), 3 Dewasa</t>
  </si>
  <si>
    <t>4,5,12,19,25,26 Oktober 2025</t>
  </si>
  <si>
    <t>31 Januari 2026 dan 1,7,8 Febuari 2026</t>
  </si>
  <si>
    <t>Need's Eskrim</t>
  </si>
  <si>
    <t>1 mobil (                          )  2 dewasa</t>
  </si>
  <si>
    <t>4,5,11,12 Oktober 2025</t>
  </si>
  <si>
    <t>Loding Barang Promo</t>
  </si>
  <si>
    <t>TPA AR Rahmah</t>
  </si>
  <si>
    <t>1 mobil (B 2461UKB), 2 dewasa</t>
  </si>
  <si>
    <t>CFC</t>
  </si>
  <si>
    <t>1 Motor (                           ) 2 Dewasa</t>
  </si>
  <si>
    <t>4,5,11,12,18,19,25,26 oktober 2025</t>
  </si>
  <si>
    <t>Bu Santi</t>
  </si>
  <si>
    <t>1 Mobil ( B 1532 DZG )</t>
  </si>
  <si>
    <t>TK Assalam kebagusan</t>
  </si>
  <si>
    <t xml:space="preserve">PT. AMAN FOOD INDUSTRI Teh Ngaso / Teh Semesta
</t>
  </si>
  <si>
    <t>1 Mobil ( B 1477 SRY)</t>
  </si>
  <si>
    <t>1 Mobil (                     ),1 Motor(                       ) 3 Dewasa</t>
  </si>
  <si>
    <t>5, 12, 19 26 Oktober 2025</t>
  </si>
  <si>
    <t xml:space="preserve">Loading Barang Pendopo TSA 2 dan 3 </t>
  </si>
  <si>
    <t>Demikian Dispensasi ini diberikan untuk digunakan sebagai mestinya.</t>
  </si>
  <si>
    <t xml:space="preserve">PT. PIONEERINDO GOURMET </t>
  </si>
  <si>
    <t xml:space="preserve">1 Motor (                   ) 2 dewasa </t>
  </si>
  <si>
    <t>Temu kangen pendawa 3</t>
  </si>
  <si>
    <t>7,8,14,15,16,17 febuari 2026</t>
  </si>
  <si>
    <t>1 Mobil B 1874 PKA</t>
  </si>
  <si>
    <t>Loading Barang ke Pendopo 1 DI TSA</t>
  </si>
  <si>
    <t>PT MARGA NUSANTARA JAYA</t>
  </si>
  <si>
    <t>Oishi</t>
  </si>
  <si>
    <t>1 mobil 4 Dewasa</t>
  </si>
  <si>
    <t>4,5,11,12,18,19,25,26 Oktober 2025</t>
  </si>
  <si>
    <t>loading barang promo</t>
  </si>
  <si>
    <t>5 Dewasa 1 Mobil (                     )</t>
  </si>
  <si>
    <t>Dua Kelici</t>
  </si>
  <si>
    <t>1 monbil 5 Dewasa</t>
  </si>
  <si>
    <t>5, 12 Oktober 2025</t>
  </si>
  <si>
    <t>Korpri Bareskrim Mabes Polri</t>
  </si>
  <si>
    <t xml:space="preserve">1 MOBIL (  B. 2606 SIV ) </t>
  </si>
  <si>
    <t>7 Febuari 2026</t>
  </si>
  <si>
    <t>Two Thubmbs</t>
  </si>
  <si>
    <t>2 mobil 2 dewaa</t>
  </si>
  <si>
    <t>4.5.11.12 Oktober 2025</t>
  </si>
  <si>
    <t>loading promo</t>
  </si>
  <si>
    <t>1 MOBIL ( B. 168.WUK  )</t>
  </si>
  <si>
    <t>loading barang aula serbaguna</t>
  </si>
  <si>
    <t>Helmi</t>
  </si>
  <si>
    <t>1 mobil (B 2352 BIL)</t>
  </si>
  <si>
    <t>1 MOBIL ( Taksi online )</t>
  </si>
  <si>
    <t>loading barang lapangan beringin</t>
  </si>
  <si>
    <t xml:space="preserve"> 1 MOBIL ( Taksi online )</t>
  </si>
  <si>
    <t>Ibu Reni Aprilia</t>
  </si>
  <si>
    <t>1 mobil (B 1784 WYG)</t>
  </si>
  <si>
    <t>STHQ</t>
  </si>
  <si>
    <t xml:space="preserve"> 1 MOBIL ( B 2396 SIK )</t>
  </si>
  <si>
    <t>5 FEBUARI 2026</t>
  </si>
  <si>
    <t>LOADING BARANG LAP TIMUR INF 1</t>
  </si>
  <si>
    <t>wiwi kelurahan johar baru</t>
  </si>
  <si>
    <t>1 Mobil (B 2423 TOH)</t>
  </si>
  <si>
    <t>PT. Pioneerindo Gourmet Int. Tbk.</t>
  </si>
  <si>
    <t>loading barang ke TSA 2</t>
  </si>
  <si>
    <t>2 Dewasa, 1 Mobil (                       ), 2 Motor  (               )</t>
  </si>
  <si>
    <t>7,8,14,15 Februari 2026</t>
  </si>
  <si>
    <t>Ichitan</t>
  </si>
  <si>
    <t>1 mobil 3 dewasa</t>
  </si>
  <si>
    <t>Kepala Unit Pengelola</t>
  </si>
  <si>
    <t>PT ADVISINDO ARTISTIKA/ IRIS Mayora ( Teh Pucuk )</t>
  </si>
  <si>
    <t>Taman Margasatwa Ragunan</t>
  </si>
  <si>
    <t>SDIT ANNISA</t>
  </si>
  <si>
    <t xml:space="preserve">1 MOTOR (                   )   </t>
  </si>
  <si>
    <t>5 Dewasa, 1 Mobil (                        )</t>
  </si>
  <si>
    <t>14 FEBRUARI - 17 FEBRUARI 2026</t>
  </si>
  <si>
    <t>Dinas Pertamanan dan Hutan Kota</t>
  </si>
  <si>
    <t>Sdit Al hikmah</t>
  </si>
  <si>
    <t>1 Mobil B 1729 DZA</t>
  </si>
  <si>
    <t>Loading barang ke TSA pendopo 3</t>
  </si>
  <si>
    <t>Provinsi DKI Jakarta</t>
  </si>
  <si>
    <t>PT. PACIFIC FOOD INDONESIA</t>
  </si>
  <si>
    <t>12, 19, 26 Oktober dan 2 November 2025</t>
  </si>
  <si>
    <t>18 -25 MARET 2026</t>
  </si>
  <si>
    <t>PT DOM PIZZA</t>
  </si>
  <si>
    <t>4 Dewasa, 1 Mobil (                        )</t>
  </si>
  <si>
    <t>4 Dewasa 1 Mobil (             ) 1 Motor (                 )</t>
  </si>
  <si>
    <t>1,7,8 Februari 2026</t>
  </si>
  <si>
    <t>12, 18,19,25,26 Okt dan 1,2,8,9,Nov 2025</t>
  </si>
  <si>
    <t>Nurita</t>
  </si>
  <si>
    <t>1 Mobil B 1041 DZV</t>
  </si>
  <si>
    <t>PT. Kreasi Pandawa Sakti  Ichitan</t>
  </si>
  <si>
    <t>Loading barang Ke teras Informasi</t>
  </si>
  <si>
    <t>SD Nurul Fikri</t>
  </si>
  <si>
    <t>1 Mobi B 7072 EDA</t>
  </si>
  <si>
    <t>Loading barang ke Pendopo 3 TSA</t>
  </si>
  <si>
    <t>5 Dewasa 2 Mobil (                     ) (                             )</t>
  </si>
  <si>
    <t>15 Februari, 22-23 Maret 2026</t>
  </si>
  <si>
    <t>HANIFATUNNISA</t>
  </si>
  <si>
    <t>Sekolah Alam Bekasi</t>
  </si>
  <si>
    <t>1 Mobil B 2628 TZU</t>
  </si>
  <si>
    <t>Loadiing barang lapangan ATM 4</t>
  </si>
  <si>
    <t>1 Mobil ( B 8570 NQ )</t>
  </si>
  <si>
    <t>Loading Barang Pendopo</t>
  </si>
  <si>
    <t>ILUNI 6084</t>
  </si>
  <si>
    <t>Andri Kita Bisa</t>
  </si>
  <si>
    <t>1 Mobil B 7 HIS</t>
  </si>
  <si>
    <t>1 Mobil  B 1573 EMZ dan B 1085 TJ</t>
  </si>
  <si>
    <t>Loading barang ke Pendopo 4 TSA</t>
  </si>
  <si>
    <t>3 Dewasa 2 Mobil (                     ) (                           )</t>
  </si>
  <si>
    <t>ICHITAN</t>
  </si>
  <si>
    <t>14, 15, 17 febuari 2026</t>
  </si>
  <si>
    <t>4 Dewasa 1 Mobil (                                )</t>
  </si>
  <si>
    <t>12,19,26 Oktober 2025</t>
  </si>
  <si>
    <t>20, 21, 22, 23, 24 Maret 2026</t>
  </si>
  <si>
    <t>PAUD Imam Safi'i Jakarta</t>
  </si>
  <si>
    <t>1 Mobil (                             )</t>
  </si>
  <si>
    <t>loading barang TSA 2</t>
  </si>
  <si>
    <t>Yayasan dompet yatim duafa</t>
  </si>
  <si>
    <t>1 Mobil  B 9268 ERU</t>
  </si>
  <si>
    <t>KELUARGA BESAR IGORU MENTAH</t>
  </si>
  <si>
    <t>Herlina</t>
  </si>
  <si>
    <t xml:space="preserve">3 mobil (1. B 1831 ULQ  2. B 1889 UV 3. B 1371 DFD)
</t>
  </si>
  <si>
    <t>1 Mobil B 1051 UFP</t>
  </si>
  <si>
    <t>Loading Barang Lapangan ATM 1</t>
  </si>
  <si>
    <t>Prayatna EO Oishi</t>
  </si>
  <si>
    <t>ERIK SOMBA</t>
  </si>
  <si>
    <t>B 1552 ZOD dan B 2406 RH</t>
  </si>
  <si>
    <t xml:space="preserve">1 Mobil (                ), 3 Motor (                 ), (                   ), (                  )  4 Dewasa </t>
  </si>
  <si>
    <t>loading baraqng lap ATM</t>
  </si>
  <si>
    <t>14,15,16,17 Februari 2026 dan 22,23,24,25,26,27,28 dan 29 Maret 2026</t>
  </si>
  <si>
    <t>Sabrina</t>
  </si>
  <si>
    <t>B 2205 BFI</t>
  </si>
  <si>
    <t>Sabtu 11 okttober 2025</t>
  </si>
  <si>
    <t>Nani Sumarni</t>
  </si>
  <si>
    <t>loading barang pendop 4</t>
  </si>
  <si>
    <t xml:space="preserve">1 Mobil ( B 1677 SRZ ) </t>
  </si>
  <si>
    <t>Lynwood Coffee</t>
  </si>
  <si>
    <t>5,11,12,18,19,25 dan 26 Oktober 2025</t>
  </si>
  <si>
    <t xml:space="preserve">Loading Barang Teras Informasi </t>
  </si>
  <si>
    <t>Dinda</t>
  </si>
  <si>
    <t>1 Mobil (B 1883 EOB)</t>
  </si>
  <si>
    <t>Two thumbs</t>
  </si>
  <si>
    <t>6 Dewasa 4 Mobil (                ) (                       ) (                     ) (                        )</t>
  </si>
  <si>
    <t>21,22,23,34,25,26,27,28,29 Maret 2026</t>
  </si>
  <si>
    <t>DIEFANITA</t>
  </si>
  <si>
    <t>1 Mobil (B2917 SOC)</t>
  </si>
  <si>
    <t>Lading barang ke pusat informasi</t>
  </si>
  <si>
    <t>krokom</t>
  </si>
  <si>
    <t>B 1127 FZE</t>
  </si>
  <si>
    <t>28, 29 Maret dan 4, 5, 11. 12. 18, April 2026</t>
  </si>
  <si>
    <t>loading barang lapangan sebrang TSA</t>
  </si>
  <si>
    <t>Wings Chit</t>
  </si>
  <si>
    <t>MKGJ</t>
  </si>
  <si>
    <t>6 Dewasa 2 motor 2 mobil</t>
  </si>
  <si>
    <t>B 2405 TKX</t>
  </si>
  <si>
    <t xml:space="preserve"> 22 sd 29 Maret dan 3,4,5 April 2026</t>
  </si>
  <si>
    <t>Lapagan belakan Pelican</t>
  </si>
  <si>
    <t>Ibu Tari</t>
  </si>
  <si>
    <t xml:space="preserve">1 Mobil ( B 2050 TVN ) </t>
  </si>
  <si>
    <t>18,19,25,26 OKTOBER 2025</t>
  </si>
  <si>
    <t xml:space="preserve">PT. Pioneerindo Gourmet Int. Tbk Donat dan Roti
</t>
  </si>
  <si>
    <t>Krisdanrita</t>
  </si>
  <si>
    <t>2 Dewasa 1 Mobil (                         ) 2 Motor (                   ) (                       )</t>
  </si>
  <si>
    <t>1 Mobil F 1525 LI</t>
  </si>
  <si>
    <t>22,23,24,25,28,29 Maret dan 4,5 April 2026</t>
  </si>
  <si>
    <t>Loading barang  ke Lap informasi timur</t>
  </si>
  <si>
    <t>Kin Youghurt</t>
  </si>
  <si>
    <r>
      <t xml:space="preserve">1 Mobil </t>
    </r>
    <r>
      <rPr>
        <rFont val="Arial"/>
        <color theme="1"/>
        <sz val="10.0"/>
      </rPr>
      <t>B 1883 EOB</t>
    </r>
  </si>
  <si>
    <t>Loading barang Ke pendopo 3 TSA</t>
  </si>
  <si>
    <t>1 Mobil</t>
  </si>
  <si>
    <t>22,23,24,25,26 Maret 2026</t>
  </si>
  <si>
    <t>Jakarta Eco tourism Festival 2025</t>
  </si>
  <si>
    <t>PT XLsmart telecom sejahtera TBK</t>
  </si>
  <si>
    <r>
      <t xml:space="preserve">1 Mobil </t>
    </r>
    <r>
      <rPr>
        <rFont val="Arial"/>
        <color theme="1"/>
        <sz val="10.0"/>
      </rPr>
      <t>(B 2561 SIM)</t>
    </r>
  </si>
  <si>
    <t>6 Dewasa 2 Mobil (                         ) (                          )</t>
  </si>
  <si>
    <t>22,23,24,25,26,27,28 Maret 2026</t>
  </si>
  <si>
    <t>Yayasan Haji Al-Fauzan</t>
  </si>
  <si>
    <t>1 Mobil (B 1736 SDU)</t>
  </si>
  <si>
    <t>loading barang ke area lapangan ATM</t>
  </si>
  <si>
    <t>18,19,25,26 Oktober 2025</t>
  </si>
  <si>
    <t>ES-POT DHORID</t>
  </si>
  <si>
    <t>1 Dewasa , 1 Mobil (                  )</t>
  </si>
  <si>
    <t>25, 26, 27, 28 dan 29 Maret 2026</t>
  </si>
  <si>
    <t>GKJ Eben Haezer</t>
  </si>
  <si>
    <t>1 Mobil B ( 1812 NVJ)</t>
  </si>
  <si>
    <t>Loading barang Ke pendopo 1 TSA</t>
  </si>
  <si>
    <t>sois indomaret</t>
  </si>
  <si>
    <t>PT Domino Kreasi Indonesia Mie sedaap, isoplus, teh lemon madu</t>
  </si>
  <si>
    <t>6 Dewasa 1 Mobil (                         )</t>
  </si>
  <si>
    <t>22,23,24,25,26,27 Maret 2026</t>
  </si>
  <si>
    <t>PT Pacific Food Indonesia Smax Ring</t>
  </si>
  <si>
    <t>HIM WASOS</t>
  </si>
  <si>
    <t>1 Mobil ( B 1121 TR )</t>
  </si>
  <si>
    <t>Loading barang ke Teras informasi</t>
  </si>
  <si>
    <t>1 Dewasa, 1 Mobil (                         )</t>
  </si>
  <si>
    <t>24, 25, 26, 27, 28 dan 29 Maret 2026</t>
  </si>
  <si>
    <t>Hamonangan</t>
  </si>
  <si>
    <t>1 Mobil ( B 1498 DFG )</t>
  </si>
  <si>
    <t>Loading Barang Barang Ke Gedung Serba Guna</t>
  </si>
  <si>
    <t>1 Mobil ( B 1811 SIS )</t>
  </si>
  <si>
    <t>Fikah</t>
  </si>
  <si>
    <t>2 Dewasa, 1 Mobil (                         )</t>
  </si>
  <si>
    <t>22, 23 Maret 2026</t>
  </si>
  <si>
    <t xml:space="preserve"> 2 mobil ( B 1840 KZX, B 2208 KYN )</t>
  </si>
  <si>
    <t xml:space="preserve">Loading Barang ke Teras Informasi </t>
  </si>
  <si>
    <t>Sitanggang</t>
  </si>
  <si>
    <t>1 Mobil ( B 1578 RKU )</t>
  </si>
  <si>
    <t>Pensiunan Asei</t>
  </si>
  <si>
    <t>1 Mobil (  B 2583 SFB )</t>
  </si>
  <si>
    <t xml:space="preserve">Loading barang </t>
  </si>
  <si>
    <t>Loading Barang Pendopo 2 TSA</t>
  </si>
  <si>
    <t>Dwi Atmi</t>
  </si>
  <si>
    <t>Orang Tua Grup</t>
  </si>
  <si>
    <t xml:space="preserve">1 Mobil ( B. 1011 SIA ) </t>
  </si>
  <si>
    <t>1 mobil , 10 Dewasa</t>
  </si>
  <si>
    <t>22,23,24,25,26,27,28,29 Maret 2026</t>
  </si>
  <si>
    <t>Loading Promo</t>
  </si>
  <si>
    <t>PT Hamparan Idea Utama Mom's Recipe Silky Pudding</t>
  </si>
  <si>
    <t>2 Mobil Lalamove ( 22 dan 29 Maret 2026 )</t>
  </si>
  <si>
    <t>EUIS</t>
  </si>
  <si>
    <t xml:space="preserve">1 Mobil ( B   1091  SVG)
</t>
  </si>
  <si>
    <t>CV. Jaya Abadi Regal</t>
  </si>
  <si>
    <t>RA Salman (dudindo)</t>
  </si>
  <si>
    <t>3 Motor HOKBEN</t>
  </si>
  <si>
    <t>Loading Barang Pendopo 1 TSA</t>
  </si>
  <si>
    <t>5 Dewasa, 1 Mobil (                     )</t>
  </si>
  <si>
    <t>22,23,24 Maret 2026</t>
  </si>
  <si>
    <t>Eco Jakarta Tourim</t>
  </si>
  <si>
    <t>1 Mobil ( E 1348 ZK )</t>
  </si>
  <si>
    <t>PT. KREASI PANDAWA SAKTI ICHITAN</t>
  </si>
  <si>
    <t>Loading Barang Pendopo 3 TSA</t>
  </si>
  <si>
    <t>7 Dewasa 2 Mobil (                 ) (                     )</t>
  </si>
  <si>
    <t>24, 25, 26, 27, 28, 29 Maret, 5,12,19,26 April 2026</t>
  </si>
  <si>
    <t>Rombongan Manullang</t>
  </si>
  <si>
    <t>1 Mobil ( B 1601 NMK)</t>
  </si>
  <si>
    <t>Need's™ Es krim potong singapore</t>
  </si>
  <si>
    <t>Loading Barang Pendopo  4 TSA</t>
  </si>
  <si>
    <t>4 Dewasa 1 Mobil (                    )</t>
  </si>
  <si>
    <t>YAYASAN PAPAN RAIUDHATUL JANNAH</t>
  </si>
  <si>
    <t>PT. ULTRA SAKTI</t>
  </si>
  <si>
    <t xml:space="preserve">1 Mobil (                 )  </t>
  </si>
  <si>
    <t>22, 23, 24 dan 25 Maret 2026</t>
  </si>
  <si>
    <t>Yayasan Sekolah International Australia</t>
  </si>
  <si>
    <t>PT. GASTRORAMA INDONESIA  HANASUI</t>
  </si>
  <si>
    <t>1 mobil tgl 22 dan 26 Maret dan 1 Mobil tgl 22-26 Maret 2026</t>
  </si>
  <si>
    <t>5 Mobil (B 1297 SIX, B 9341 SAH, B 7642 SDA, B 7090 SDC, B 7146 SDC)</t>
  </si>
  <si>
    <t>Loading Barang Ke danau timur</t>
  </si>
  <si>
    <t>CV. INDAH PRATAMA BISCUIT UNIBIS</t>
  </si>
  <si>
    <t>5 Dewasa , 1 Mobil (                        )</t>
  </si>
  <si>
    <t>22.23.24 Maret 2026</t>
  </si>
  <si>
    <t>CV. INDAH PRATAMA PINO ICE CUP</t>
  </si>
  <si>
    <t>7 Dewasa, 1 Mobil (                      )</t>
  </si>
  <si>
    <t>FONI</t>
  </si>
  <si>
    <t>1 Mobil Lala Move (                           )</t>
  </si>
  <si>
    <t>CV. INDAH PRATAMA MILKITA CANDY</t>
  </si>
  <si>
    <t>Loanding Barang Pendopo 1 TSA</t>
  </si>
  <si>
    <t>PT.MANOHARA ASRI MAYASI</t>
  </si>
  <si>
    <t>6 Dewasa 1 Mobil</t>
  </si>
  <si>
    <t>22,23,24,25,26,27,28,29 MARET 2026</t>
  </si>
  <si>
    <t>4 Dewasa, 2 Motor (                )    (                        )</t>
  </si>
  <si>
    <t>22,22,23,23,24,24,25,26,27,28,29, maret 2026</t>
  </si>
  <si>
    <t>Bank Mega Syariah</t>
  </si>
  <si>
    <t>B 1026 FFM, B 2259 SRS</t>
  </si>
  <si>
    <t>Ibu Verna</t>
  </si>
  <si>
    <t>1 Mobil A 1583 RF</t>
  </si>
  <si>
    <t>loading barang lapangan TL</t>
  </si>
  <si>
    <t>Loading Barang Lap TSIK 2</t>
  </si>
  <si>
    <t xml:space="preserve">PT. Indosat Ooredoo Hutchison Telekomunikasi
</t>
  </si>
  <si>
    <t>5 Dewasa 2 Mobil (                       ) (                  )</t>
  </si>
  <si>
    <t>JTC</t>
  </si>
  <si>
    <t>1mobil ( B 2195 TOA )</t>
  </si>
  <si>
    <t>Cimory</t>
  </si>
  <si>
    <t>5 Dewasa 1 Mobil (                      )</t>
  </si>
  <si>
    <t>IBU IMAS</t>
  </si>
  <si>
    <t>1 Mobil ( B 1832 DOL)</t>
  </si>
  <si>
    <t>Sosis Kentang</t>
  </si>
  <si>
    <t>Loading barang Pendopo 1 TSA</t>
  </si>
  <si>
    <t>3 Dewasa 1 mobil 2 motor</t>
  </si>
  <si>
    <t>22,23,24,25,26,27,28,29  Maret 2026</t>
  </si>
  <si>
    <t>2 Dewasa 2 Mobil (                             )</t>
  </si>
  <si>
    <t>PT. FASTRATA BUANA Kapal Api</t>
  </si>
  <si>
    <t>1,2,8, dan 9 November 2025</t>
  </si>
  <si>
    <t>4 Dewasa Mobil 2 (                  ) (                          )</t>
  </si>
  <si>
    <t>22 dan 23 Maret 2026</t>
  </si>
  <si>
    <t>PT. SARIMELATI</t>
  </si>
  <si>
    <t>Good day</t>
  </si>
  <si>
    <t>2 Dan 30 November 2025</t>
  </si>
  <si>
    <t>5 Dewasa 1 mobil 5 motor</t>
  </si>
  <si>
    <t>DATA DISPENSASI</t>
  </si>
  <si>
    <t>Ibu Nimah</t>
  </si>
  <si>
    <t>PT. MAYORA INDAH</t>
  </si>
  <si>
    <t>1 Mobil  ( B 1056 DOD )</t>
  </si>
  <si>
    <t>6 Dewasa 1 Mobil (                      )</t>
  </si>
  <si>
    <t>22,23,24,25,26,27,28,29 maret dan 4, 5 april 2026</t>
  </si>
  <si>
    <t>Loading Barang di Areal TSA</t>
  </si>
  <si>
    <t>Agung Puji Saputra</t>
  </si>
  <si>
    <t xml:space="preserve"> Mo</t>
  </si>
  <si>
    <t>1 Mobil  ( E 1348 ZK)</t>
  </si>
  <si>
    <t>Loading Barang di Area TSA</t>
  </si>
  <si>
    <t>DUA KELINCI</t>
  </si>
  <si>
    <t>6 Dewasa</t>
  </si>
  <si>
    <t>2 mobil 5 dewasa</t>
  </si>
  <si>
    <t>2,9,16,23,30 November 2025</t>
  </si>
  <si>
    <t>loading arang promo</t>
  </si>
  <si>
    <t>Chuba</t>
  </si>
  <si>
    <t>5 Dewasa, 2 Mobil (               ), (                      )</t>
  </si>
  <si>
    <t>23,24,25,26,28 Maret 2026</t>
  </si>
  <si>
    <t>Need ice cream</t>
  </si>
  <si>
    <t>3 dewasa 1 mobil</t>
  </si>
  <si>
    <t>1,2,8,9,15 November 2025</t>
  </si>
  <si>
    <t>Tini Wini Biti</t>
  </si>
  <si>
    <t>Utara 1</t>
  </si>
  <si>
    <t>2  Dewasa 1 Motor</t>
  </si>
  <si>
    <t>1,2,8,9,15,16,22,23,29,30 Nov 2025</t>
  </si>
  <si>
    <t>PT CITRADIMENSI ARTHALI CEDEA</t>
  </si>
  <si>
    <t>Ahmad Maulana</t>
  </si>
  <si>
    <t>Pt. Dom Pizza</t>
  </si>
  <si>
    <t>4 Dewasa 1 Motor (            ) 1 Mobil (                  )</t>
  </si>
  <si>
    <t>15, 16, 22, 23, 29, 30 November dan 6, 7, 9 Desember 2025</t>
  </si>
  <si>
    <t>Utara 2</t>
  </si>
  <si>
    <t>Aldi Priadi Ekapaksi</t>
  </si>
  <si>
    <t>4 Dewasa, 1 Mobil Tgl 22 dan 29 maret 2026 (                     )</t>
  </si>
  <si>
    <t>22,23,24,25,26,27,28,29 maret 2026</t>
  </si>
  <si>
    <t>Utara 3</t>
  </si>
  <si>
    <t>Amanda Luthfia Ramadhani</t>
  </si>
  <si>
    <t>1,2,8,9,15,16,22,23,29 dan 30 November Tahun 2025</t>
  </si>
  <si>
    <t>Pizza Hut Delivery</t>
  </si>
  <si>
    <t>Tol Utara</t>
  </si>
  <si>
    <t>2 Motor &amp; tambahan 2 motor di 29 maret 2026</t>
  </si>
  <si>
    <t>Amanda Sabila</t>
  </si>
  <si>
    <t>Smack Ring</t>
  </si>
  <si>
    <t>Barat Kendaraan</t>
  </si>
  <si>
    <t>2 Dewasa 1 Mobil (             )</t>
  </si>
  <si>
    <t>Lynwood Coffe</t>
  </si>
  <si>
    <t>Arif Nurdiansah</t>
  </si>
  <si>
    <t>1,2 November 2025</t>
  </si>
  <si>
    <t>3 Dewasa, 1 Mobil (B 2361 PBZ)</t>
  </si>
  <si>
    <t>22,23,24,28 Maret 2026</t>
  </si>
  <si>
    <t>5 Dewasa 1 Mobil</t>
  </si>
  <si>
    <t>PT. Pioneerindo Gourmet Internasional Tbk. (call donat)</t>
  </si>
  <si>
    <t>3 dewasa , 1 mobil , 2 motor</t>
  </si>
  <si>
    <t>Eka Priyatiningsih</t>
  </si>
  <si>
    <t>1,2,8,9,15,16,22,23,29,30 November 2025</t>
  </si>
  <si>
    <t>walls</t>
  </si>
  <si>
    <t>7 dewasa 1 mobil 2 motor</t>
  </si>
  <si>
    <t>19, 22,23,24,25,26,27,28,29  Maret 2026</t>
  </si>
  <si>
    <t>Digital Orange Dua Kelinci</t>
  </si>
  <si>
    <t>Delicute</t>
  </si>
  <si>
    <t>5 Dewasa, 1 Mobil</t>
  </si>
  <si>
    <t>2,9,16 dan 23 November 2025</t>
  </si>
  <si>
    <t>Erfan</t>
  </si>
  <si>
    <t>Ernawati Yuliastiningsih</t>
  </si>
  <si>
    <t>PT Everindo (Bejo)</t>
  </si>
  <si>
    <t>4 Dewasa 1 Mobil 2 motor</t>
  </si>
  <si>
    <t>Persari SDIT Rahmaniyah</t>
  </si>
  <si>
    <t>Ervi Irawati</t>
  </si>
  <si>
    <t>23, 24, 25 Maret 2026</t>
  </si>
  <si>
    <t xml:space="preserve">1 Mobil ( B1744EGY) </t>
  </si>
  <si>
    <t>Febria Shafira</t>
  </si>
  <si>
    <t>2 Dewasa 1 Mobil (                            ) 1 Motor (                            )</t>
  </si>
  <si>
    <t>22,23,24,25,26 (2 titik) ,28,29 (2 Titik)</t>
  </si>
  <si>
    <t>1 Mobil ( A 1779 FZ)</t>
  </si>
  <si>
    <t>Feiruz</t>
  </si>
  <si>
    <t>PT Rekreasi Era Indonesia Caladine JF Sulfur</t>
  </si>
  <si>
    <t>1 Mobil (                              )</t>
  </si>
  <si>
    <t>Fildzah Shabrina</t>
  </si>
  <si>
    <t>Firda Anjanie</t>
  </si>
  <si>
    <t>Kalbe Consumer Health Sakatonik cerebrofort</t>
  </si>
  <si>
    <t>23,24,25,26,27,28,29 Maret 2026</t>
  </si>
  <si>
    <t>Herdi Nofiandi</t>
  </si>
  <si>
    <t>PT TELKOMSEL</t>
  </si>
  <si>
    <t>Ilham Setiyono</t>
  </si>
  <si>
    <t>Irma Khotimah</t>
  </si>
  <si>
    <t>Laska Nur Shadrina</t>
  </si>
  <si>
    <t>Loading Barang teras Informasi</t>
  </si>
  <si>
    <t>M. Zahwa Dwianka</t>
  </si>
  <si>
    <t>Moh Izwan Ikhsani</t>
  </si>
  <si>
    <t>Nabila Noor Main</t>
  </si>
  <si>
    <t>Ningrum Septianti</t>
  </si>
  <si>
    <t>oishi</t>
  </si>
  <si>
    <t>4 dewasa, 4 motor, 1 mobil</t>
  </si>
  <si>
    <t>Novya Istiqomah</t>
  </si>
  <si>
    <t>1,2,8,9,15,16,22,23,29, dan 30 November 2025</t>
  </si>
  <si>
    <t>Nuzul Khaerun Ramadhan</t>
  </si>
  <si>
    <t>Rendy Renaldy</t>
  </si>
  <si>
    <t>Ridwan Maulana</t>
  </si>
  <si>
    <t>PT LYNWOOD COFFEE</t>
  </si>
  <si>
    <t>3 Dewasa 1 Mobil (                      )</t>
  </si>
  <si>
    <t>Rizmy Hikmat</t>
  </si>
  <si>
    <t>Rosa Anjulina</t>
  </si>
  <si>
    <t>Ryant Sena Perwira</t>
  </si>
  <si>
    <t xml:space="preserve">1 Mobil (                              ) </t>
  </si>
  <si>
    <t>Raja</t>
  </si>
  <si>
    <t>Sahara Firyal Humaira</t>
  </si>
  <si>
    <t>22,dan 29 Maret 2026</t>
  </si>
  <si>
    <t>1 Mobil ( B2456SOZ)</t>
  </si>
  <si>
    <t>Sarifudin</t>
  </si>
  <si>
    <t>Loading Barang Pendopo 4 TSA</t>
  </si>
  <si>
    <t>Siska Rahmawati</t>
  </si>
  <si>
    <t>PT. Moou Milk Bar</t>
  </si>
  <si>
    <t>1 Mobil (                       ) 2 motor (                  ) (                         )</t>
  </si>
  <si>
    <t>22, 23 , 24 , 25 dan 26 Maret 2026</t>
  </si>
  <si>
    <t>Uci Anggraini</t>
  </si>
  <si>
    <t>Smax ring</t>
  </si>
  <si>
    <t>Widyo Siswantoro</t>
  </si>
  <si>
    <t>5 dewasa 2 mobil</t>
  </si>
  <si>
    <t>ABC Alkaline</t>
  </si>
  <si>
    <t>Yusuf Safii</t>
  </si>
  <si>
    <t>AMAN FOOD TEH NGASO</t>
  </si>
  <si>
    <t xml:space="preserve">1 Mobil ( B4519BYA  ) </t>
  </si>
  <si>
    <t>3 DEEWASA 1 MOBIL 3 MOTOR</t>
  </si>
  <si>
    <t>2,9,16,23,30 NOVEMBER 2025</t>
  </si>
  <si>
    <t>LOADING PROMO</t>
  </si>
  <si>
    <t>PT COCA COLA EUROPACIFIC PARTNERS</t>
  </si>
  <si>
    <t>Edi Nugroho Plus</t>
  </si>
  <si>
    <t>1 Mobil ( B 1042 POT)</t>
  </si>
  <si>
    <t>Baitul A la</t>
  </si>
  <si>
    <t>1 Mobil ( B 1650 FZC )</t>
  </si>
  <si>
    <t>Loading Barang Lapangan Beringin Informasi</t>
  </si>
  <si>
    <t>Ibu Nur Comariah</t>
  </si>
  <si>
    <t>22 dan 25 maret 2026</t>
  </si>
  <si>
    <t>2 mobil ( B 1859 SYT  /  B 9452 SYN )</t>
  </si>
  <si>
    <t>Loading Barang di TSA 1</t>
  </si>
  <si>
    <t>Eco Jakarta Tourism</t>
  </si>
  <si>
    <t>1 Mobil ( E 1348 ZK)</t>
  </si>
  <si>
    <t>Loading Barang Dipendopo 4 TSA</t>
  </si>
  <si>
    <t>PT FKS FOOD TARO</t>
  </si>
  <si>
    <t>Adelin</t>
  </si>
  <si>
    <t xml:space="preserve">1 Mobil ( B 1348 BDQ) </t>
  </si>
  <si>
    <t xml:space="preserve">Loading Barang ke LAP TSIK 1
</t>
  </si>
  <si>
    <t>1 Mobil (                          )</t>
  </si>
  <si>
    <t>23, 24 maret 2026</t>
  </si>
  <si>
    <t>Snack Chuba</t>
  </si>
  <si>
    <t>5 Dewasa &amp; 2 Mobil (                      )</t>
  </si>
  <si>
    <t>MOMOGI</t>
  </si>
  <si>
    <t>4 Dewasa 1 Mobil (                        )</t>
  </si>
  <si>
    <t>Chiki Smax Ring</t>
  </si>
  <si>
    <t>2 Dewasa 1 Mobil (                        )</t>
  </si>
  <si>
    <t>8, 9, 16, 23 November 2025</t>
  </si>
  <si>
    <t>OMG</t>
  </si>
  <si>
    <t>5 DEWASA 1 MOBIL</t>
  </si>
  <si>
    <t>Bimbel Gambar Villa Merah</t>
  </si>
  <si>
    <t>2 Mobil (B 9020 KAY) (B 1848 WEP)</t>
  </si>
  <si>
    <t>Loading Barang Ke Gedung Serba Guna</t>
  </si>
  <si>
    <t>nescafe rtd</t>
  </si>
  <si>
    <t>7 dewasa 1 mobil</t>
  </si>
  <si>
    <t>19,22,23,24,25,26,27,28 Maret 2026</t>
  </si>
  <si>
    <t>Jakarta Outbond</t>
  </si>
  <si>
    <t>2 Mobil (B 9744 UXC ) (B 2016 TBR)</t>
  </si>
  <si>
    <t>Alpenleibe Lollipop</t>
  </si>
  <si>
    <t>6 Dewasa 1 Mobil (                             )</t>
  </si>
  <si>
    <t>GKKD Fun Run</t>
  </si>
  <si>
    <t>2 Mobil ( B 2521 TRJ ) LALAMOVE (             )</t>
  </si>
  <si>
    <t>Need's Ice cream</t>
  </si>
  <si>
    <t>Two Thumb</t>
  </si>
  <si>
    <t>2 Dewasa 2 Mobil (             ) (              )</t>
  </si>
  <si>
    <t>15, 16, 22, 23, 29, 30 November 2025</t>
  </si>
  <si>
    <t>2 Dewasa 1 Mobil (                      )</t>
  </si>
  <si>
    <t>25 dan 26 Maret 2026</t>
  </si>
  <si>
    <t>Sekolah Kembang</t>
  </si>
  <si>
    <t>1 Mobil ( B 1232 SMR)</t>
  </si>
  <si>
    <t>Hydro Coco</t>
  </si>
  <si>
    <t>Loading Barang Ke Lapangan timur informasi</t>
  </si>
  <si>
    <t>1 Orang 1 Mobil (            )</t>
  </si>
  <si>
    <t>28,29 Maret 2026</t>
  </si>
  <si>
    <t>GDI ITC Cipulir</t>
  </si>
  <si>
    <t>1 Mobil ( B 1072 HKT )</t>
  </si>
  <si>
    <t>22,23,24 MARET 26</t>
  </si>
  <si>
    <t>loading barang ke tsa</t>
  </si>
  <si>
    <t>Needs ice cream</t>
  </si>
  <si>
    <t>2 Dewasa 1 mobil (               )</t>
  </si>
  <si>
    <t>16,22,23,29,30 November 2025</t>
  </si>
  <si>
    <t>O'LIVE MILK</t>
  </si>
  <si>
    <t>22,23,24 DAN 25 MARET 26</t>
  </si>
  <si>
    <t>FITBAR</t>
  </si>
  <si>
    <t>26,27,28 DAN 29 MARET 26</t>
  </si>
  <si>
    <t>PT SANGHIANG PERKASA Hydro Coco, O'LIVE MILK, FITBAR</t>
  </si>
  <si>
    <t>DC DKI</t>
  </si>
  <si>
    <t>1 MOBIL ( B1216 KJL )</t>
  </si>
  <si>
    <t>JATI WANG</t>
  </si>
  <si>
    <t>1 Mobil ( B 2660 SBK )</t>
  </si>
  <si>
    <t>Loading barang Ke Pendopo 1</t>
  </si>
  <si>
    <t>2 Mobil ( B 9774 UXC, B 2016 TBR)</t>
  </si>
  <si>
    <t>Herborist</t>
  </si>
  <si>
    <t>1 Mobil (                            )</t>
  </si>
  <si>
    <t>23 dan 24 Maret 2026</t>
  </si>
  <si>
    <t>PT. ESTIKA DAYA MANDIRI</t>
  </si>
  <si>
    <t>1 Mobil ( B 2603 SFT)</t>
  </si>
  <si>
    <t>extrajoss</t>
  </si>
  <si>
    <t>1 mobil</t>
  </si>
  <si>
    <t>Bowo Susanto</t>
  </si>
  <si>
    <t xml:space="preserve">2 Mobil ( AU 2130-00,  B 1318 EZS) </t>
  </si>
  <si>
    <t>larutan cap badak</t>
  </si>
  <si>
    <t>1 mobil 5 dewasa 2 motor</t>
  </si>
  <si>
    <t>Nestle</t>
  </si>
  <si>
    <t>22,23,24,25 Maret</t>
  </si>
  <si>
    <t>Kuttab Ummul Quro</t>
  </si>
  <si>
    <t>2 Mobil (B 9335 TCD &amp; B 2793 KRK)</t>
  </si>
  <si>
    <t>Loading Barang Ke TSA 1 &amp; TSA 4</t>
  </si>
  <si>
    <t>BALITBANG KEMHAN</t>
  </si>
  <si>
    <t>1 Mobil ( 4345-00 )</t>
  </si>
  <si>
    <t>Loading Barang Ke TSA-2</t>
  </si>
  <si>
    <t>Tempo Group</t>
  </si>
  <si>
    <t>MABES AU</t>
  </si>
  <si>
    <t>1 Mobil (B 1618 EAB)</t>
  </si>
  <si>
    <t>22,26,24,25,26 Maret 2026</t>
  </si>
  <si>
    <t>Parkir Di area Gedung Serbaguna</t>
  </si>
  <si>
    <t>Teh Pucuk Harum</t>
  </si>
  <si>
    <t>1 Mobil ,5 Dewasa</t>
  </si>
  <si>
    <t>27,28,29 Maret 2026</t>
  </si>
  <si>
    <t>1 Mobil (2025-00)</t>
  </si>
  <si>
    <t>4 dewasa 1 mobil</t>
  </si>
  <si>
    <t>1 Mobil (B 1318 EZS)</t>
  </si>
  <si>
    <t>PT KOBE BOGA UTAMA</t>
  </si>
  <si>
    <t xml:space="preserve">1 Mobil (                     ), 6 Dewasa </t>
  </si>
  <si>
    <t>27,28,29 MARET 2026</t>
  </si>
  <si>
    <t>1 Mobil (B 1190 EZS)</t>
  </si>
  <si>
    <t>1 Mobil  (                      )  , 4 Dewasa</t>
  </si>
  <si>
    <t>28,29 MARET 2026</t>
  </si>
  <si>
    <t>Astantina</t>
  </si>
  <si>
    <t>PT. INDOSAT</t>
  </si>
  <si>
    <t>1 Mobil (B 2104 TOR)</t>
  </si>
  <si>
    <t>1 Mobil (            ), 5 Motor, 5 Dewasa</t>
  </si>
  <si>
    <t>Milna</t>
  </si>
  <si>
    <t>Muhaimin</t>
  </si>
  <si>
    <t xml:space="preserve">1 mobil </t>
  </si>
  <si>
    <t>1 Mobil (B 2086WVA)</t>
  </si>
  <si>
    <t>Loading Barang ke lapangan beringin</t>
  </si>
  <si>
    <t>PT. MOOU MILK BAR</t>
  </si>
  <si>
    <t>1 Mobil (                ), 1 Motor , 3 Dewasa</t>
  </si>
  <si>
    <t>WIDI GERAKAN KEBANGSAAN INDONESIA</t>
  </si>
  <si>
    <t>28 dan 29 Maret 2026</t>
  </si>
  <si>
    <t>1 Mobil (B 2357 BKC)</t>
  </si>
  <si>
    <t>Loading Barang ke Teras Informasi</t>
  </si>
  <si>
    <t>1 Mobil (                ), 3 Dewasa</t>
  </si>
  <si>
    <t>28, 29 Maret &amp; 4, 5 April 2026</t>
  </si>
  <si>
    <t>2 Dewasa 1 Mobil (          )</t>
  </si>
  <si>
    <t>30 November dan 6,7 Desember 2025</t>
  </si>
  <si>
    <t>1 Mobil  (B 2361 PBZ), 3 Dewasa</t>
  </si>
  <si>
    <t>29 Maret 4,5,12,19,26 April 2026</t>
  </si>
  <si>
    <t>Ibu Ani Pribadi</t>
  </si>
  <si>
    <t xml:space="preserve">1 Mobil ( R 1026 EP) </t>
  </si>
  <si>
    <t>Ibu Ratih</t>
  </si>
  <si>
    <t>1 Mobil (B 1772 ZMJ)</t>
  </si>
  <si>
    <t>Hartanto</t>
  </si>
  <si>
    <t>1 mobil   (B 1293 PZY)</t>
  </si>
  <si>
    <t>loading barang  TSA 2</t>
  </si>
  <si>
    <t>PT. Pioneerindo Gourmet INT</t>
  </si>
  <si>
    <t>1 Motor (                                   )</t>
  </si>
  <si>
    <t>3,4,5,11,12,18,19,25 dan 26 April 2026</t>
  </si>
  <si>
    <t>PT. Pioneerindo Gourmet Internasional tbk</t>
  </si>
  <si>
    <t>Sotang AE</t>
  </si>
  <si>
    <t>4 Dewasa, 1 Mobil (                  ) 2 Motor (                  )(                          )</t>
  </si>
  <si>
    <t>4,5,11,12,18,19,25,26 April 2026</t>
  </si>
  <si>
    <r>
      <t xml:space="preserve">45 Dewasa, 15 Mobil , 30 Motor </t>
    </r>
    <r>
      <rPr>
        <rFont val="Arial"/>
        <color theme="1"/>
        <sz val="10.0"/>
      </rPr>
      <t>(3 Dewasa,1 Mobil, 2 Motor/hari)</t>
    </r>
  </si>
  <si>
    <t>6,7,13,14,20,21,25,26,27,28,31 desember 2025 &amp; 1,2,3,4 Januari 20276</t>
  </si>
  <si>
    <t xml:space="preserve">4 Dewasa, 1 Mobil (                  ) 4 Motor </t>
  </si>
  <si>
    <t>4 dan 5 April 2026</t>
  </si>
  <si>
    <t>PT Sanghiang Perkasa</t>
  </si>
  <si>
    <t>1 Dewasa, 1 Mobil (                 )</t>
  </si>
  <si>
    <t>3,4 dan 5 april 2026</t>
  </si>
  <si>
    <t>2 Dewasa 1 motor</t>
  </si>
  <si>
    <t xml:space="preserve"> 6,7,13,14,20,21,25,26,27,28,31 desember dan 1,2,3,4 Januari 2026</t>
  </si>
  <si>
    <t>Es ptong Dhorid</t>
  </si>
  <si>
    <t>2 Dewasa, 1 Mobil (                  )</t>
  </si>
  <si>
    <t>4, 5, 12, 19, 26 April 2026</t>
  </si>
  <si>
    <t>Pizza</t>
  </si>
  <si>
    <t>3 Dewasa 2 Motor (              )</t>
  </si>
  <si>
    <t>1 Mobil (                             ), 1 Motor (                              )</t>
  </si>
  <si>
    <t>7 dan 28 desember 2025</t>
  </si>
  <si>
    <t>4,5,25,26 April  dan 2,3 Mei 2026</t>
  </si>
  <si>
    <t>Needs Ice Cream</t>
  </si>
  <si>
    <t>4,5 dan 12 April 2026</t>
  </si>
  <si>
    <t>Syifa</t>
  </si>
  <si>
    <t>B 1295 SNR</t>
  </si>
  <si>
    <t>Danie Setiawan</t>
  </si>
  <si>
    <t>1 mobil (B 1151 WYR)</t>
  </si>
  <si>
    <t>Loading barang ke PPS</t>
  </si>
  <si>
    <t>loading barang lapangan Timur Gajah</t>
  </si>
  <si>
    <t>ibu eka</t>
  </si>
  <si>
    <t>TARO</t>
  </si>
  <si>
    <t>1 mobil ( B 1921 BME )</t>
  </si>
  <si>
    <t>5 Dewasa 2 mobil</t>
  </si>
  <si>
    <t>loading barang LAP ATM 1</t>
  </si>
  <si>
    <t>TWO THUMBS</t>
  </si>
  <si>
    <t>hj budi</t>
  </si>
  <si>
    <t>2 Mobil (                 ), 2 Dewasa / Hari</t>
  </si>
  <si>
    <t>1 mobil ( B 2047 TGR ) (  B 2047  TRG )</t>
  </si>
  <si>
    <t>6,7,13,14,20 Desember 2025</t>
  </si>
  <si>
    <t>loading barang LAP TIMUR INF 2</t>
  </si>
  <si>
    <t>Keluarga Boyolali</t>
  </si>
  <si>
    <t>PT. Pacifik food indonesia Smax Ring</t>
  </si>
  <si>
    <t>B 1467 PZO</t>
  </si>
  <si>
    <t xml:space="preserve">1 dewasa, 1 mobil (                    ) </t>
  </si>
  <si>
    <t>Loading Barang Ke Lapangan ATM 3</t>
  </si>
  <si>
    <t>Ibu Wiwin</t>
  </si>
  <si>
    <t>1 mobil ( B 1647 kib )</t>
  </si>
  <si>
    <t>SDTQ Imam Syafi'i ( Yuli)</t>
  </si>
  <si>
    <t>B 2914 SRD dan B 8332 BW</t>
  </si>
  <si>
    <t>Loading barang ke Aula Serbaguna</t>
  </si>
  <si>
    <t>loading barang  teras informasi</t>
  </si>
  <si>
    <t>Ressa pahlevi</t>
  </si>
  <si>
    <t>1 mobil  ( B 1370 UYU )</t>
  </si>
  <si>
    <t>5 Dewasa 2 Mobil</t>
  </si>
  <si>
    <t>loading barang gazebo</t>
  </si>
  <si>
    <t>7, 14, 21, 25, 28 Desember 2025 dan 1 Januari 2026</t>
  </si>
  <si>
    <t>1 mobil (            )</t>
  </si>
  <si>
    <t>12 dan 19 April 2026</t>
  </si>
  <si>
    <t>4 Dewasa 1 mobil 3 motor</t>
  </si>
  <si>
    <t xml:space="preserve">6,7,13,14,20,21,25,26,27,28 desember 2025
</t>
  </si>
  <si>
    <t>sekolah alam</t>
  </si>
  <si>
    <t>1 mobil ( B 1520 PRX )</t>
  </si>
  <si>
    <t>loading barang pondopo 3</t>
  </si>
  <si>
    <t>PT. LYNWOOD COFFEE</t>
  </si>
  <si>
    <t xml:space="preserve">3 Dewasa 1 Mobil </t>
  </si>
  <si>
    <t>19, 25, 26 April dan 2, 3, 9, 10, 16, 17 Mei 2026</t>
  </si>
  <si>
    <t>6, 7, 13, 14, 20, 21, 25, 26, 27, 28 Desember 2025</t>
  </si>
  <si>
    <t>DPW Florist IndonesiaComunity</t>
  </si>
  <si>
    <t>1 Mobil B 256 ALD</t>
  </si>
  <si>
    <t>Endang, Citayam Bogor</t>
  </si>
  <si>
    <t>loading barang pondopo 2</t>
  </si>
  <si>
    <t>1 mobil (F 1257 LY)</t>
  </si>
  <si>
    <t xml:space="preserve">Loading Barang pendopo tsa 2 </t>
  </si>
  <si>
    <t>ibu lies / Himpaudi</t>
  </si>
  <si>
    <t xml:space="preserve">1 mobil (                     ) </t>
  </si>
  <si>
    <t>sekolah minggu GBI Mawarsaron Segara City</t>
  </si>
  <si>
    <t>loading barang  aula serbaguna</t>
  </si>
  <si>
    <t>1 Mobil ( B 2069 KZ )</t>
  </si>
  <si>
    <t>Loading barang tsa 3</t>
  </si>
  <si>
    <t>PT Digital Orange Dua Kelinci</t>
  </si>
  <si>
    <t>5 Dewasa 1 Mobil (                         )</t>
  </si>
  <si>
    <t>12,19,26 April dan 3,10 Mei 2026</t>
  </si>
  <si>
    <t>lIXIL</t>
  </si>
  <si>
    <t>1 Mobil ( B 9550 TCP )</t>
  </si>
  <si>
    <t xml:space="preserve">Loading barang aula serbaguna </t>
  </si>
  <si>
    <t>4 Dewasa, 1 Mobil (                  ) 4 Motor</t>
  </si>
  <si>
    <t>11,12,18,19,25,26 april 2026</t>
  </si>
  <si>
    <t>UNNES</t>
  </si>
  <si>
    <t>3 Dewasa, 2 Mobil (                   )</t>
  </si>
  <si>
    <t>1 Mobil ( B 2970 PFC )</t>
  </si>
  <si>
    <t>11,12,18,19,25,26 April 2026</t>
  </si>
  <si>
    <t>Loading barang dilahan</t>
  </si>
  <si>
    <t>ILINGO ( Lap Beringin )</t>
  </si>
  <si>
    <t>1 Mobil ( B 1692 SKR )</t>
  </si>
  <si>
    <t>Bu Titin</t>
  </si>
  <si>
    <t>1 Mobil ( B 1516 KMU )</t>
  </si>
  <si>
    <t xml:space="preserve">BAPAK IZOEL ( Pendopo Tsa 4 ) </t>
  </si>
  <si>
    <t>1 Mobil ( B 2568 TVI )</t>
  </si>
  <si>
    <t>PT Aman Food Industri</t>
  </si>
  <si>
    <t xml:space="preserve">Syukur ( Lap timur inf 1 ) </t>
  </si>
  <si>
    <t>1 Mobil ( B 9668 FAH )</t>
  </si>
  <si>
    <t>3 Dewasa, 1 Mobil (                     ), 1 motor (                      )</t>
  </si>
  <si>
    <t>7, 14, 21, 28 Desember 2025</t>
  </si>
  <si>
    <t>Pak Hadi Sukirno ( Lap Atm 1 )</t>
  </si>
  <si>
    <t xml:space="preserve">1 Mobil ( B 1723 TFE ) </t>
  </si>
  <si>
    <t>IXIL</t>
  </si>
  <si>
    <t>B 8182 YV,</t>
  </si>
  <si>
    <t>Paseduluran glodok salawase jabodetabek Sony Nugroho</t>
  </si>
  <si>
    <t xml:space="preserve">LOADING BARANG </t>
  </si>
  <si>
    <t xml:space="preserve">1 Mobil ( B 2389 KRL ) </t>
  </si>
  <si>
    <t xml:space="preserve"> B 1104 BAI</t>
  </si>
  <si>
    <t>Arisan Bundo Kanduang</t>
  </si>
  <si>
    <t xml:space="preserve">1 Mobil ( B 1337 SFY ) </t>
  </si>
  <si>
    <t>sekolah minggu gko depok 1 ( Lap Tsik 4 )</t>
  </si>
  <si>
    <t xml:space="preserve">1 Mobil ( B 1547 ERM ) </t>
  </si>
  <si>
    <t>B2058 BJV</t>
  </si>
  <si>
    <t>purnamasari ( Pendopo tsa 2 )</t>
  </si>
  <si>
    <t xml:space="preserve">1 Mobil ( B 1742 UIM ) </t>
  </si>
  <si>
    <t>Ibu Reni</t>
  </si>
  <si>
    <t xml:space="preserve"> B 2931 BZB</t>
  </si>
  <si>
    <t>1 Mobil ( B 1795 DFP )</t>
  </si>
  <si>
    <t xml:space="preserve">kursi pijat </t>
  </si>
  <si>
    <t>1 mobil ( B 2923 SRC )</t>
  </si>
  <si>
    <t xml:space="preserve"> B 2531 BJB</t>
  </si>
  <si>
    <t xml:space="preserve">RAFI ADITYA </t>
  </si>
  <si>
    <t>1 Mobil (2980 TZT )</t>
  </si>
  <si>
    <t>Loading Barang GAZEBO</t>
  </si>
  <si>
    <t>TK TABHITA BINTARO</t>
  </si>
  <si>
    <t>1 Mobil ( B 7221 WDA )</t>
  </si>
  <si>
    <t xml:space="preserve"> B 2621 BOZ</t>
  </si>
  <si>
    <t>loading barang PENDOPO TSA 3</t>
  </si>
  <si>
    <t>Yayasan Rumah Jingga</t>
  </si>
  <si>
    <t>2 Mobil (  B 1129 ZKB ) ( B 1643 SRU )</t>
  </si>
  <si>
    <t xml:space="preserve">loading Barang LAP-TL </t>
  </si>
  <si>
    <t>Need's Es krim potong singapore</t>
  </si>
  <si>
    <t xml:space="preserve"> B 2465 BJG</t>
  </si>
  <si>
    <t>2 Dewasa, 1 Mobil (                                )</t>
  </si>
  <si>
    <t>19 dan 26 April 2026</t>
  </si>
  <si>
    <t>Rombongan ibu wahyu</t>
  </si>
  <si>
    <t>1 mobil ( B 9431 TWM)</t>
  </si>
  <si>
    <t>loading barnag lapangan depan TSA</t>
  </si>
  <si>
    <t>F 8899 HW</t>
  </si>
  <si>
    <t>BADI KARTO DIHARDJO</t>
  </si>
  <si>
    <t>1 Mobil ( B 1828 KIV )</t>
  </si>
  <si>
    <t>RIZA</t>
  </si>
  <si>
    <t>1 mobil  (B 1953 DYI)</t>
  </si>
  <si>
    <t>B 2914 SRD dan B 8332 BW</t>
  </si>
  <si>
    <t>loading barang lapangan timur informasi</t>
  </si>
  <si>
    <t>Loading Barang Aula Serbaguna</t>
  </si>
  <si>
    <t>1 mobil, 1 motor 2 Dewasa</t>
  </si>
  <si>
    <t>26 April dan 3, 10, 17, 24, 31 Mei 2026</t>
  </si>
  <si>
    <t>pgri cab cipayung kota depok</t>
  </si>
  <si>
    <t>B 9032 ZYA</t>
  </si>
  <si>
    <t>bapak idris</t>
  </si>
  <si>
    <t>2 Mobil,  ( B 1510 CFG ) dan ( B 2037 SKI )</t>
  </si>
  <si>
    <t>PT DOM PIZZA INDONESIA</t>
  </si>
  <si>
    <t>4 Dewasa 1 Mobil (                       ) 1 motor(             )</t>
  </si>
  <si>
    <t>14, 20, 21, 25, 27, 28 Desember 2025 dan 1, 3, 4 Januari 2026</t>
  </si>
  <si>
    <t>loading barang pendopo 3</t>
  </si>
  <si>
    <t>Need's Ice Cream</t>
  </si>
  <si>
    <t>4 Dewasa 1 Mobil (                   )</t>
  </si>
  <si>
    <t>sd strada bakti utama</t>
  </si>
  <si>
    <t>1 mobil Hokben</t>
  </si>
  <si>
    <t>13,14,20,21,24,25,26,27,28 Desember 2025</t>
  </si>
  <si>
    <t>Loading barang ke gazebo</t>
  </si>
  <si>
    <t>Pondok Kasih</t>
  </si>
  <si>
    <t>B 1733 EYK</t>
  </si>
  <si>
    <t>PT. Semmua Sehat Selalu</t>
  </si>
  <si>
    <t>5 Dewasa, 1 Mobil (                   ) / hari</t>
  </si>
  <si>
    <t>20,21 Desember 2025</t>
  </si>
  <si>
    <t>5 Dewasa 2 Mobil (               ) (                )</t>
  </si>
  <si>
    <t>3,10,14,24,31 Mei 2026</t>
  </si>
  <si>
    <t>PGRI Jagakarsa</t>
  </si>
  <si>
    <t>1 Mobil B 1167 DKG</t>
  </si>
  <si>
    <t>IBU AGNES</t>
  </si>
  <si>
    <t>Loading barang ke aula serbaguna</t>
  </si>
  <si>
    <t>1 Mobil ( B 1823 PRB )</t>
  </si>
  <si>
    <t>Mayora</t>
  </si>
  <si>
    <t>Loading Barang pendopo TSA 3</t>
  </si>
  <si>
    <t>5 Dewasa 1 Mobil (         )</t>
  </si>
  <si>
    <t>25 Desember 2025 sampai dengan 01 Januari 2026</t>
  </si>
  <si>
    <t>Bapak Rony Morron</t>
  </si>
  <si>
    <t>1 Mobil ( B 8582 LG )</t>
  </si>
  <si>
    <t xml:space="preserve">Loading Barang pendopo TSA 4 </t>
  </si>
  <si>
    <t>2 Mobil F 1766 LA dan B 2731 SYS</t>
  </si>
  <si>
    <t>VIA</t>
  </si>
  <si>
    <t xml:space="preserve">1 Mobil ( B 1698 KVB ) </t>
  </si>
  <si>
    <t>loading Barang Gazebo</t>
  </si>
  <si>
    <t>SMPN 27 Jakarta Duren sawit</t>
  </si>
  <si>
    <t>1 Mobil ( B 9019 UH )</t>
  </si>
  <si>
    <t>BKB Paud Matahari</t>
  </si>
  <si>
    <t>1 Mobil ( B 2212 BW )</t>
  </si>
  <si>
    <t>Loading Barang pendopo 2</t>
  </si>
  <si>
    <t xml:space="preserve">Loading barang ke pendopo TSA 2 </t>
  </si>
  <si>
    <t>IKSJ</t>
  </si>
  <si>
    <t>1 Mobil ( B 1277 KZP )</t>
  </si>
  <si>
    <t>FAMGATH DESA SUKAPURA</t>
  </si>
  <si>
    <t>1 Mobil ( B 2396 SRJ )</t>
  </si>
  <si>
    <t xml:space="preserve">KEL BESAR H. SYA AIR ( Lap Beringin ) </t>
  </si>
  <si>
    <t xml:space="preserve">1 Mobil ( B 2088 TK ) </t>
  </si>
  <si>
    <t xml:space="preserve">Loading barang ke gazebo </t>
  </si>
  <si>
    <t xml:space="preserve">Loading Barang Lap beringin </t>
  </si>
  <si>
    <t>Wiwin</t>
  </si>
  <si>
    <t>Abdul Hadi</t>
  </si>
  <si>
    <t xml:space="preserve">1 Mobil ( B 2541 TBS ) </t>
  </si>
  <si>
    <t>1 Mobil ( B 2174 YO )</t>
  </si>
  <si>
    <t>09 May 2026</t>
  </si>
  <si>
    <t>Loading Barang Lap ATM 1</t>
  </si>
  <si>
    <t>smax rng</t>
  </si>
  <si>
    <t>loading prmo</t>
  </si>
  <si>
    <t>PT Rekreasi Era Indonesia</t>
  </si>
  <si>
    <t>8 dewasa 1 Mobil (                           )</t>
  </si>
  <si>
    <t>Bu Irma</t>
  </si>
  <si>
    <t>20,21,24 25,26,27,28 Desember 2025 dan 1,2,3,4 Januari 2026</t>
  </si>
  <si>
    <t>1 Mobil ( B 1017 NIN )</t>
  </si>
  <si>
    <t>loading barang pendopo 2</t>
  </si>
  <si>
    <t>Herry Susanto ( Pendopo Tsa 2 )</t>
  </si>
  <si>
    <t>1 Mobil (  B 2080 KMY )</t>
  </si>
  <si>
    <t>Pt macrosentra Niagaboga ( cimory group )</t>
  </si>
  <si>
    <t>7 Dewasa 1 Mobil (                           )</t>
  </si>
  <si>
    <t>Loading Barang Pendopo TSA 2</t>
  </si>
  <si>
    <t>27 , 28 Desember 2025</t>
  </si>
  <si>
    <t>IKK Jakarta</t>
  </si>
  <si>
    <t>1 Mobil ( B 1417 HKF )</t>
  </si>
  <si>
    <t>Loading Barang IKK Jakarta</t>
  </si>
  <si>
    <t>Bonbin Studio</t>
  </si>
  <si>
    <t>D 1637 YCS</t>
  </si>
  <si>
    <t>1 Mobil ( B 9324 TCL )</t>
  </si>
  <si>
    <t>PT KOBE BOGA UTAMA (BONCABE)</t>
  </si>
  <si>
    <t>6 Dewasa 1Mobil (                        )2 Motor (                 )</t>
  </si>
  <si>
    <t>25, 27, 28 Desember 2025</t>
  </si>
  <si>
    <t>CIMORY</t>
  </si>
  <si>
    <t>Tanti</t>
  </si>
  <si>
    <t>4 Dewasa, 1 Mobil (                        ) / Hari</t>
  </si>
  <si>
    <t>21,25 dan 28 Desember 2025</t>
  </si>
  <si>
    <t xml:space="preserve">1 Mobil ( B 1507 RZG ) </t>
  </si>
  <si>
    <t>PT. Shoptivate Medicare &amp; Sunco</t>
  </si>
  <si>
    <t>4 Dewasa 1 Mobil (                            )</t>
  </si>
  <si>
    <t>20 dan 21 Desember 2025</t>
  </si>
  <si>
    <t>Loading Barang Pendopo Tsa 3</t>
  </si>
  <si>
    <t>Two Thumbs</t>
  </si>
  <si>
    <t>Kantor Berita Antara</t>
  </si>
  <si>
    <t>3 Dewasa 2 Mobil (                      ) (                             )</t>
  </si>
  <si>
    <t>2 Mobil</t>
  </si>
  <si>
    <t>1,2,3,14,16 dan 17 Mei 2026</t>
  </si>
  <si>
    <t>Loading barang pameran presiden</t>
  </si>
  <si>
    <t>Paseduluran Sastrodirono</t>
  </si>
  <si>
    <t>1 Mobil ( F 1049 AAV )</t>
  </si>
  <si>
    <t>2 Dewasa 1 Motor (                       )</t>
  </si>
  <si>
    <t>1,2,3,9,10,14,15,16,17,23,24,27,28,29,30,31 Mei 2026</t>
  </si>
  <si>
    <t>Loading barang di Gazebo</t>
  </si>
  <si>
    <t>WoW X Kusuka</t>
  </si>
  <si>
    <t>1 truk</t>
  </si>
  <si>
    <t>1 dan 3 mei 2026</t>
  </si>
  <si>
    <t>SD Strada Bhakti Utama</t>
  </si>
  <si>
    <t>6 Mobil ( B 9785 UAE , B 9695 BAG, G 8109 CB, B 1663 HFF, B 1400 HKS, B 2233 UFH,B 9502 BAV )</t>
  </si>
  <si>
    <t>Mobil 8854-00 dan Mobil Hokban</t>
  </si>
  <si>
    <t>Loading Barang ke lap timur Informasi</t>
  </si>
  <si>
    <t>Promo</t>
  </si>
  <si>
    <t>Alexandra</t>
  </si>
  <si>
    <t>21,23,24,25,26,27</t>
  </si>
  <si>
    <t>Mobil B 1933 UYQ</t>
  </si>
  <si>
    <t>B 1942 WZR, B1563 HZB,B 1622 JS, B 2387 KZM</t>
  </si>
  <si>
    <t xml:space="preserve">4 Dewasa 1 Mobil (                           ) 4 Motor (            )          </t>
  </si>
  <si>
    <t>ACARA KUSUKA</t>
  </si>
  <si>
    <t>1, 2,3 Mei 2026</t>
  </si>
  <si>
    <t xml:space="preserve"> pondok pesantren anawawih bogor</t>
  </si>
  <si>
    <t>4 Dewasa, 1 Mobil (                           ), 1 Motor (             )</t>
  </si>
  <si>
    <t xml:space="preserve">1 Mobil ( B 9964 NRV ) </t>
  </si>
  <si>
    <t>1,2,3,9,10,14,16,17,23,24,27,30 dan 31 Mei 2026</t>
  </si>
  <si>
    <t>Loading barang di pendopo tsa 1</t>
  </si>
  <si>
    <t xml:space="preserve">Rombongan Bu Mia ( Pendopo Tsa 2 ) </t>
  </si>
  <si>
    <t>1 Mobil ( B 9010 SAI )</t>
  </si>
  <si>
    <t>4 Dewasa 1 mobil</t>
  </si>
  <si>
    <t>24,29,30,31 des 2025 dan 1,2,3,4 jan 2026</t>
  </si>
  <si>
    <t>loading Promo</t>
  </si>
  <si>
    <t>ES Pot Dhorid</t>
  </si>
  <si>
    <t xml:space="preserve">1 Dewasa, 1 Mobil (               ) </t>
  </si>
  <si>
    <t>2,3,9,10, mei 2026</t>
  </si>
  <si>
    <t>Mulia Sudirman (North Jakarta Colaboration)</t>
  </si>
  <si>
    <t>1 Mobil ( B 9614 UAS )</t>
  </si>
  <si>
    <t>Needs</t>
  </si>
  <si>
    <t>3 Dewasa, 1 Mobil (                     )</t>
  </si>
  <si>
    <t>2,3,9, dan 10 Mei 2026</t>
  </si>
  <si>
    <t>Call Donat</t>
  </si>
  <si>
    <t>1 mobil, 1 motor, 2 dewasa</t>
  </si>
  <si>
    <t xml:space="preserve"> pada tanggal 2,3,9,10,16,17,23,24,30,31 Mei 2026</t>
  </si>
  <si>
    <t>Loading Barang Tsik 1</t>
  </si>
  <si>
    <t>3 Dewasa, 1 Mobil (                  )</t>
  </si>
  <si>
    <t>Diah tentram senior care</t>
  </si>
  <si>
    <t>2,3,10,14,16,17,24,30,31 May 2026</t>
  </si>
  <si>
    <t>1 Mobil ( B 2470 SIQ)</t>
  </si>
  <si>
    <t>Loading Barang Ke Teras Informasi</t>
  </si>
  <si>
    <t>Kalpa</t>
  </si>
  <si>
    <t>25,26,27,28 Desember 2025 ,1,2,3,4 Januari 2026</t>
  </si>
  <si>
    <t xml:space="preserve">Pendopo TSA 1 ( Bpk Bambang ) </t>
  </si>
  <si>
    <t>1 Mobil ( B 2294  TGU )</t>
  </si>
  <si>
    <t>Dua Kelinci</t>
  </si>
  <si>
    <t>6 Dewaa 1 mobil</t>
  </si>
  <si>
    <t>Loading Barang Pendopo TSA 1</t>
  </si>
  <si>
    <t>1,2,3,4 Januari 2026</t>
  </si>
  <si>
    <t>PT Magnum ice cream Indonesia</t>
  </si>
  <si>
    <t>3 Dewasa, 1 Mobil (                   ), 2 Motor (                 ) (                   )</t>
  </si>
  <si>
    <t>CV.Indah pratama Milkita candy</t>
  </si>
  <si>
    <t>2  dan 3 Mei  2026</t>
  </si>
  <si>
    <t>6 Dewasa 1 Mobil (                     )</t>
  </si>
  <si>
    <t>27,28 desember 2025</t>
  </si>
  <si>
    <t>Yayasan tugas mulia</t>
  </si>
  <si>
    <t>Baterai ABC ALKALINE</t>
  </si>
  <si>
    <t>1 mobil (  B 9569 EAF )</t>
  </si>
  <si>
    <t>2 Dewasa  2 Mobil, 2 Motor (                )</t>
  </si>
  <si>
    <t>3-4 januari 2026</t>
  </si>
  <si>
    <t>loading baran aula serbaguna</t>
  </si>
  <si>
    <t>Taro</t>
  </si>
  <si>
    <t>ESTI</t>
  </si>
  <si>
    <t>3 Dewasa 2 mobil</t>
  </si>
  <si>
    <t>B 2703 VGY</t>
  </si>
  <si>
    <t>25,27,28 Desember 2025 1 Januari 2026</t>
  </si>
  <si>
    <t>Loading Barang Ke Gazebo</t>
  </si>
  <si>
    <t>PT. SAIPUL PUTRA SAKTI (IMANAN HOLDING)</t>
  </si>
  <si>
    <t>6 Dewasa 1 Mobil (                   )</t>
  </si>
  <si>
    <t>25,26,27,28 Desember 2025</t>
  </si>
  <si>
    <t xml:space="preserve"> Bapak Imam Pamuji</t>
  </si>
  <si>
    <t>1 Mobil  ( B 1088 VKE )</t>
  </si>
  <si>
    <t>loading barang Lokasi Pendopo 3</t>
  </si>
  <si>
    <t>Alamsyah</t>
  </si>
  <si>
    <t>B 1577 WMK</t>
  </si>
  <si>
    <t>1 Dewasa 1 Mobil (                  )</t>
  </si>
  <si>
    <t>25,27,28 Desember dan 1 Januari 2025</t>
  </si>
  <si>
    <t>Loading Barang LAP TSIK 1</t>
  </si>
  <si>
    <t>PT manohara asri Mayasi</t>
  </si>
  <si>
    <t>5 Dewasa 1 Mobil (                   )</t>
  </si>
  <si>
    <t>25,26,27,28,29,30, dan 31 desember 2025</t>
  </si>
  <si>
    <t>Bapak Mufid</t>
  </si>
  <si>
    <t>B 2946 SZN</t>
  </si>
  <si>
    <t>Loading Barang Lap sebrang TSA</t>
  </si>
  <si>
    <t>bumi food</t>
  </si>
  <si>
    <t>PT Kurnia Promo lestari</t>
  </si>
  <si>
    <t xml:space="preserve">3 Dewasa 2 Motor, 1 Mobil </t>
  </si>
  <si>
    <t>9 dan 10 Mei 2026</t>
  </si>
  <si>
    <t>Pak Joko</t>
  </si>
  <si>
    <t>1 Mobil ( B 2294 PKU )</t>
  </si>
  <si>
    <t xml:space="preserve">Loading barang tsa 4 </t>
  </si>
  <si>
    <t>UMKM Bamus Betawi (Es-Pot Dhorid Singapore)</t>
  </si>
  <si>
    <t>4 Dewasa, 4 Motor, 1 Mobil</t>
  </si>
  <si>
    <t>1 Mobil , 2 dewasa</t>
  </si>
  <si>
    <t>28 desember 2025 , 1.4.11 januari 2026</t>
  </si>
  <si>
    <t>Keluarga besar Daimin</t>
  </si>
  <si>
    <t>OT Grup</t>
  </si>
  <si>
    <t>1 Mobil ( B 2810 PVA )</t>
  </si>
  <si>
    <t>2 motor,1 mobil 4 dewasa</t>
  </si>
  <si>
    <t xml:space="preserve"> pada tanggal 27,28,29,30,31 Desember 2025 dan 1,2,3 Januari 2026</t>
  </si>
  <si>
    <t>Loading Barang PENDOPO TSA 2</t>
  </si>
  <si>
    <t>PT Trikara Phoenix Kreasi</t>
  </si>
  <si>
    <t>5 Orang, 2 Mobil (                     ), (                  )</t>
  </si>
  <si>
    <t>Mr p Kacang</t>
  </si>
  <si>
    <t>5 Dewasa, 1 motor, 2 mobil</t>
  </si>
  <si>
    <t>27,28 Des 2025 dan 3,4 janu 2026</t>
  </si>
  <si>
    <t>Two Tumbs</t>
  </si>
  <si>
    <t>VELVET JUNIOR</t>
  </si>
  <si>
    <t xml:space="preserve">1 Dewasa, 1 Mobil (                  ) </t>
  </si>
  <si>
    <t>10,14,15,16,17 Mei 2026</t>
  </si>
  <si>
    <t>2 MOBIL 12 DEWASA</t>
  </si>
  <si>
    <t>27,28,29,30,31 desember 2025</t>
  </si>
  <si>
    <t>ES - POT DHORID SINGAPORE</t>
  </si>
  <si>
    <t xml:space="preserve">1 Dewasa , 1 Mobil (                    ) </t>
  </si>
  <si>
    <t xml:space="preserve">Putri </t>
  </si>
  <si>
    <t>14, 16, 17, 23 dan 24 mei  2026</t>
  </si>
  <si>
    <t>1 Mobil, ( B 2962 PFR )</t>
  </si>
  <si>
    <t xml:space="preserve">Loading barang Pendopo tsa 2 </t>
  </si>
  <si>
    <t>TSM</t>
  </si>
  <si>
    <t>ES krim Walss</t>
  </si>
  <si>
    <t>1 Mobil (                                )</t>
  </si>
  <si>
    <t>3 Dewasa, 1 mobil,2 motor</t>
  </si>
  <si>
    <t>14,15,16,17 April 2026</t>
  </si>
  <si>
    <t>Loading Barang di Gedung Auditorium</t>
  </si>
  <si>
    <t>SDS MULIA KENCANA</t>
  </si>
  <si>
    <t xml:space="preserve"> 1 Mobil (  B 1736 BIC )</t>
  </si>
  <si>
    <t>31 Desember 2025 dan 1,2,3,4 Januari 2026</t>
  </si>
  <si>
    <t>GPDI solideo , cilengsi bogor</t>
  </si>
  <si>
    <t>Teh Pucuk</t>
  </si>
  <si>
    <t>1 Mobil ( B 1301 KKW )</t>
  </si>
  <si>
    <t>2,3, DAN 4 JANUARI TAHUN 2026</t>
  </si>
  <si>
    <t>Indomilk</t>
  </si>
  <si>
    <t>4 dewasa</t>
  </si>
  <si>
    <t xml:space="preserve">Loading Barang pondopo TSA 1 </t>
  </si>
  <si>
    <t>Dominozz</t>
  </si>
  <si>
    <t>2 Dewasa, 1 Mobil (                   ), 1 Motor (                  )</t>
  </si>
  <si>
    <t>23, 24, 30, 31 Mei dan 6, 7, 13, 14, 20 Juni 2026</t>
  </si>
  <si>
    <t>2 dewasa, 2 mobil</t>
  </si>
  <si>
    <t>28.29.30.31 desember 2025 1.2.3.4 januari 2026</t>
  </si>
  <si>
    <t>4 Dewasa, 4 Motor, 1 Mobil (                  )</t>
  </si>
  <si>
    <t>Sosis Bakar (Indomaret)</t>
  </si>
  <si>
    <t>14,15,16,17 mei 2026</t>
  </si>
  <si>
    <t>4 dewasa 1 motor 1 mobbil</t>
  </si>
  <si>
    <t xml:space="preserve"> pada tanggal 1,2,3,4,10,11,17,18,24,25 dan 31 Januari 2026</t>
  </si>
  <si>
    <t>PT. HARAP PARA MANTHA TEH PUCUK</t>
  </si>
  <si>
    <t>5 Dewasa 1 Mobil (                        )</t>
  </si>
  <si>
    <t>14,15,16, 17 MEI 2026</t>
  </si>
  <si>
    <t>PT.PIONEERINDO GOURMET INTERNATIONAL, Tbk (CFC)</t>
  </si>
  <si>
    <t>2 Dewasa 1 Motor (                            )</t>
  </si>
  <si>
    <t>Loading promo</t>
  </si>
  <si>
    <t>IBU SANTI ( BIMBA KEBAGUSAN )</t>
  </si>
  <si>
    <t xml:space="preserve">1 Mobil ( B 2154  SRZ ) </t>
  </si>
  <si>
    <t>2 Dewasa 2 Motor</t>
  </si>
  <si>
    <t>Loading Barang Pendopo 1</t>
  </si>
  <si>
    <t xml:space="preserve">KOSAMBI RAYA / LIA ( Aula Serbaguna ) </t>
  </si>
  <si>
    <t>PT Sanghiang Perkasa ( Susu Zee)</t>
  </si>
  <si>
    <t>( B - 1784 - JFG ) ,  (B - 1439 - JVL )</t>
  </si>
  <si>
    <t>1 Dewasa 1 Mobil (                   )</t>
  </si>
  <si>
    <t>31 Desember 25 1,2,3,4 Januari 26</t>
  </si>
  <si>
    <t xml:space="preserve">Loading Barang Aula </t>
  </si>
  <si>
    <t>PT Pacific Food Indonesia</t>
  </si>
  <si>
    <t>2 Dewasa 1 Mobil (                 )</t>
  </si>
  <si>
    <t xml:space="preserve"> 1, 4, 11, 18, 25 Januari dan 1 Februari 2026</t>
  </si>
  <si>
    <t>1 mobil (                                             )</t>
  </si>
  <si>
    <t>15,16,17,23 dan 24 mei 2026</t>
  </si>
  <si>
    <t>Imam Pamuji</t>
  </si>
  <si>
    <t>Koperasi Guru Jati Asih</t>
  </si>
  <si>
    <t>1 Mobil (                                              )</t>
  </si>
  <si>
    <t>Mobil (B 2107 BRJ) ( B 2723 YC) dan GRAB</t>
  </si>
  <si>
    <t>Loading Gedung Aula Serbaguna</t>
  </si>
  <si>
    <t xml:space="preserve">Bu Dida </t>
  </si>
  <si>
    <t>Mobil ( B 1484 SJS )</t>
  </si>
  <si>
    <t>4 Dewasa, 1 Mobil (                         )</t>
  </si>
  <si>
    <t>1 dan 4 Januari 2025</t>
  </si>
  <si>
    <t xml:space="preserve">Bu Wan Ijah </t>
  </si>
  <si>
    <t>2 Mobil ( B 1808 RZV ) , ( B 2721 SZU )</t>
  </si>
  <si>
    <t>CV Evergreen Buana Prima Sandang ( Velvet Junior)</t>
  </si>
  <si>
    <t>Sosis Kentang Ae</t>
  </si>
  <si>
    <t>12 Dewasa 2 Mobil (                         )</t>
  </si>
  <si>
    <t>Wings chit</t>
  </si>
  <si>
    <t>1 mobil, 3 Dewasa, 1 motor</t>
  </si>
  <si>
    <t>16,17,23,24,27,28 30 dan 31 mei 2026</t>
  </si>
  <si>
    <t>2, 3, 4 januari 2026</t>
  </si>
  <si>
    <t>Bapak Prio ( Lap ATM )</t>
  </si>
  <si>
    <t xml:space="preserve">1 Mobil ( B 1119 ERX ) </t>
  </si>
  <si>
    <t>Loading Barang ( Lap ATM )</t>
  </si>
  <si>
    <t>Bu Nurhikmah</t>
  </si>
  <si>
    <t>Bimba kebagusan ( ibu santi )</t>
  </si>
  <si>
    <t>B 1223 UYT</t>
  </si>
  <si>
    <t>1 Mobil ( B 2154 SRZ )</t>
  </si>
  <si>
    <t>ke kantor</t>
  </si>
  <si>
    <t>Bapak Sutriyono</t>
  </si>
  <si>
    <t>PT. Almendo Berkat Abadi (BEJO)</t>
  </si>
  <si>
    <t>2 Mobil (                                   )  (                                            )</t>
  </si>
  <si>
    <t>1 MOTOR, 1 DEWASA</t>
  </si>
  <si>
    <t>2, 3 JanuariI 2026</t>
  </si>
  <si>
    <t>bapak rendi</t>
  </si>
  <si>
    <t>1 Mobil (  GRAB  )</t>
  </si>
  <si>
    <t>May 22, 2026</t>
  </si>
  <si>
    <t>Damar ( Lap atm 4 )</t>
  </si>
  <si>
    <t xml:space="preserve">1 Mobil ( B 1330 ZUP ) </t>
  </si>
  <si>
    <t>loading barang lapangan atm 4</t>
  </si>
  <si>
    <t>ibu Yani</t>
  </si>
  <si>
    <t>1 mobil ( B 2467 SIV )</t>
  </si>
  <si>
    <t>Loading Barang Pendopo 2</t>
  </si>
  <si>
    <t xml:space="preserve">IDAI ( Aula Serbaguna ) </t>
  </si>
  <si>
    <t xml:space="preserve">4 Mobil (               ), (               ), (                 ), (                   ) </t>
  </si>
  <si>
    <t>2 dewasa, 1 motor</t>
  </si>
  <si>
    <t>4 januari tahun 2026</t>
  </si>
  <si>
    <t>PT Lynwood Coffee</t>
  </si>
  <si>
    <t>33 dewasa 11 mobil</t>
  </si>
  <si>
    <t>1,2,3,4,10,11,17,18,24,25,31</t>
  </si>
  <si>
    <t>herborist</t>
  </si>
  <si>
    <t>1 mobil, 3 motor</t>
  </si>
  <si>
    <t>Ra Nurul Hasanah Lenteng agung</t>
  </si>
  <si>
    <t>3,4 Januari 2026</t>
  </si>
  <si>
    <t>1 Mobil B 9463 ZUB</t>
  </si>
  <si>
    <t>Ice cream Walls</t>
  </si>
  <si>
    <t>3 Dewasa 2 Motor (                    ) (                          )</t>
  </si>
  <si>
    <t>23 dan 24 Mei 2026</t>
  </si>
  <si>
    <t>2 mobil</t>
  </si>
  <si>
    <t>PT.DUA KELINCI</t>
  </si>
  <si>
    <t>5 Dewasa, 1 Mobil (                  )</t>
  </si>
  <si>
    <t>24,30,31 MEI DAN 1,7 JUNI 2026</t>
  </si>
  <si>
    <t>Alumni SPGN 3 Jakarta</t>
  </si>
  <si>
    <t>1 MOBIL ( B 1173 SIM )</t>
  </si>
  <si>
    <t xml:space="preserve">6 Dewasa, 1 Mobil (                   ) </t>
  </si>
  <si>
    <t>30,31 MEI dan 1,6,7,13,14,20,21,28 Juni 2026</t>
  </si>
  <si>
    <t>loading teras informasi</t>
  </si>
  <si>
    <t>23,24,27,28,30,31 Mei 2026</t>
  </si>
  <si>
    <t>2 Mobil (                       )  (                           )</t>
  </si>
  <si>
    <t xml:space="preserve">Loading pendopo 1 dan 4 </t>
  </si>
  <si>
    <t>1 Mobil ( B 9463 ZUB )</t>
  </si>
  <si>
    <t>Eka</t>
  </si>
  <si>
    <t>loading area lapangan informasi</t>
  </si>
  <si>
    <t xml:space="preserve">Dash </t>
  </si>
  <si>
    <t>5 Dewasa, 1 Mobil (                      )</t>
  </si>
  <si>
    <t>27,28,29,30,31 Mei dan 1 Juni 2026</t>
  </si>
  <si>
    <t>23,24 mei 2026</t>
  </si>
  <si>
    <t>BC MARET</t>
  </si>
  <si>
    <t>B 1958 ROW</t>
  </si>
  <si>
    <t xml:space="preserve">PT.Sarimelati kencana
</t>
  </si>
  <si>
    <t>1 Dewasa , 1 Motor (            )</t>
  </si>
  <si>
    <t>30,31 mei dan 1 Juni 2026</t>
  </si>
  <si>
    <t>loading Barang</t>
  </si>
  <si>
    <t>PAUD MELATI SAWO 3</t>
  </si>
  <si>
    <t xml:space="preserve">1 Mobil (  B 2181 TOB ) </t>
  </si>
  <si>
    <t>Anugerah</t>
  </si>
  <si>
    <t>B 1842 DZQ</t>
  </si>
  <si>
    <t xml:space="preserve">27,30,31 Mei 2026
</t>
  </si>
  <si>
    <t>Gesba</t>
  </si>
  <si>
    <t>B 1462 DZR</t>
  </si>
  <si>
    <t>PRAyatna EO Oishi</t>
  </si>
  <si>
    <t>4 Dewasa ,4 motor ,1 Mobil (                 )</t>
  </si>
  <si>
    <t>27,28,29,30 dan 31 Mei</t>
  </si>
  <si>
    <t>loading Barang Promo</t>
  </si>
  <si>
    <t>Alpenleibe lollipop</t>
  </si>
  <si>
    <t xml:space="preserve">28,29,30,31 Mei  2026 </t>
  </si>
  <si>
    <t>FIFIAN</t>
  </si>
  <si>
    <t>1 Mobil ( B 1654 PIR )</t>
  </si>
  <si>
    <t>GBI TIMOTIUS ( Lap ATM 1 )</t>
  </si>
  <si>
    <t xml:space="preserve">1 Mobil ( B 2023 BKH ) </t>
  </si>
  <si>
    <t>PT Bank UOB</t>
  </si>
  <si>
    <t xml:space="preserve">1 Mobil (                        ) </t>
  </si>
  <si>
    <t>PT HARAP PARA MANTHA</t>
  </si>
  <si>
    <t>Dewasa 2 orang, 1 Motor (                                   )</t>
  </si>
  <si>
    <t>1,6,7,13,14,16,20,21,27 dan 28 Mei 2026</t>
  </si>
  <si>
    <t>Bapak Egi</t>
  </si>
  <si>
    <t xml:space="preserve"> 1 Mobil ( F 1702 )</t>
  </si>
  <si>
    <t>Joshua</t>
  </si>
  <si>
    <t xml:space="preserve">1 Mobil ( B 1685 FOG  ) </t>
  </si>
  <si>
    <t xml:space="preserve">Loading Barang pondopo 4 </t>
  </si>
  <si>
    <t>IBU IRMA</t>
  </si>
  <si>
    <t xml:space="preserve">1 Mobil ( 9909 SAL ) </t>
  </si>
  <si>
    <t xml:space="preserve">Loading Barang Lap Gajah Timur </t>
  </si>
  <si>
    <t>3 Dewasa , 2 Motor  (                )</t>
  </si>
  <si>
    <t>30,31 Mei dan 1 juni 2026</t>
  </si>
  <si>
    <t>NEED'S</t>
  </si>
  <si>
    <t>3 Dewasa ,1 Mobil (                   )</t>
  </si>
  <si>
    <t>31 Mei dan 1,6,7 Juni 2026</t>
  </si>
  <si>
    <t>Nuhun - Ubi Madu</t>
  </si>
  <si>
    <t>Es Potong Dhorid</t>
  </si>
  <si>
    <t>1 Mobil (                                    ) Dewasa 1 Orang</t>
  </si>
  <si>
    <t>1,6,7,13 dan 14 Juni 2026</t>
  </si>
  <si>
    <t>2 Dewasa, 1 motor, 1 mobil</t>
  </si>
  <si>
    <t>1,6,7,13,14,20,21,27,28 Juni 2026</t>
  </si>
  <si>
    <t>3 Dewasa, 1 Mobil</t>
  </si>
  <si>
    <t>31 Mei 2026 &amp; 1 Juni 2026</t>
  </si>
  <si>
    <t>Risoles Keyla</t>
  </si>
  <si>
    <t>3 Dewasa, 1 mobil , 3 motor</t>
  </si>
  <si>
    <t>needs es krim potong singapur</t>
  </si>
  <si>
    <t>2 dewasa, 1 mobil 2 motor</t>
  </si>
  <si>
    <t>31 Mei dan 1,6,7,14 Juni 2026</t>
  </si>
  <si>
    <t>Sosis Indomaret</t>
  </si>
  <si>
    <t>4 Dewasa, 1 mobil , 1 motor</t>
  </si>
  <si>
    <t>1,6,7,13,14,16,20,21,23,24,25,27,28 dan 30 Juni tahun 2026</t>
  </si>
  <si>
    <t xml:space="preserve">3 dewasa 1 mobil </t>
  </si>
  <si>
    <t>1,7,14,21,27,28 Juni 2026</t>
  </si>
  <si>
    <t>aman food, teh ngaso</t>
  </si>
  <si>
    <t>3 Dewasa 1 mobil 1 motor</t>
  </si>
  <si>
    <t>7, 14, 21, dan 28 Juni 2026</t>
  </si>
  <si>
    <t>Sosis Kentang AE</t>
  </si>
  <si>
    <t xml:space="preserve">Dion Lumika ( Gazebo ) </t>
  </si>
  <si>
    <t>1 Mobil ( B 1647 FIE )</t>
  </si>
  <si>
    <t>GPIB Jemaat Anugerah K-102 Bekasi</t>
  </si>
  <si>
    <t xml:space="preserve">1 Mobil ( B 9049 FRX ) </t>
  </si>
  <si>
    <t>Paguyuban generasi Trah Trokaryo Jakarta</t>
  </si>
  <si>
    <t xml:space="preserve">1 Mobil ( </t>
  </si>
  <si>
    <t xml:space="preserve">Pak Syawal ( Pendopo TSA 3 ) </t>
  </si>
  <si>
    <t xml:space="preserve">1 Mobil ( B 2639 KMM ) </t>
  </si>
  <si>
    <t xml:space="preserve">1 Mobil ( B 2290 KYK ) </t>
  </si>
  <si>
    <t>Yati Rohimah</t>
  </si>
  <si>
    <t>1 Mobil ( B 1577 TZC )</t>
  </si>
  <si>
    <t>Kelas 6 C SDN Gedong 12</t>
  </si>
  <si>
    <t>1 Mobil ( B 2740 SIM  )</t>
  </si>
  <si>
    <t>Loading Barang pondopo 1</t>
  </si>
  <si>
    <t>Dash Eo Tae Kao Noi</t>
  </si>
  <si>
    <t>6,7 Juni 2026</t>
  </si>
  <si>
    <t>Cv Yudha D. Setiawa Sotang</t>
  </si>
  <si>
    <t>3 Dewasa, 1 Mobil (                  ) 1 Motor (                        )</t>
  </si>
  <si>
    <t>1,7,14,21,28 Juni 2026</t>
  </si>
  <si>
    <t>PT. Kita Bisa Indonesia</t>
  </si>
  <si>
    <t>3 Mobil (B 9834 KQB, B 2576 SFL, B 1572 EMZ)</t>
  </si>
  <si>
    <t>WALLS ice cream</t>
  </si>
  <si>
    <t>3 dewasa 2 motor</t>
  </si>
  <si>
    <t xml:space="preserve">GBI Hosiana ( Pendopo 3 ) </t>
  </si>
  <si>
    <t xml:space="preserve">1 Mobil ( B 1092 QO ) </t>
  </si>
  <si>
    <t>PT. Indosakti</t>
  </si>
  <si>
    <t>2 Mobil (                                   ) Dewasa 4 Orang</t>
  </si>
  <si>
    <t>Bapak Syaiful ( Pendopo Tsa 3 )</t>
  </si>
  <si>
    <t xml:space="preserve">1 Mobil ( B 8003 LR ) </t>
  </si>
  <si>
    <t>RT 6 Rw 10 Al mubarok ( Lap ATM 2 )</t>
  </si>
  <si>
    <t xml:space="preserve">1 Mobil ( B 9799 BAQ ) </t>
  </si>
  <si>
    <t xml:space="preserve">SDIT At Taqwa 02 bekasi ( Lap Timur Informasi ) </t>
  </si>
  <si>
    <t xml:space="preserve">1 Mobil ( B 2152 FMH ) </t>
  </si>
  <si>
    <t>ibu cici</t>
  </si>
  <si>
    <t xml:space="preserve"> 1 mobil B 1494 PIK</t>
  </si>
  <si>
    <t>loading ke lapangan beringin informasi</t>
  </si>
  <si>
    <t>PT. Dom Pizza Indonesia</t>
  </si>
  <si>
    <t>21, 27, 28 Juni dan 4,5,11,12,18,19 Juli 2026</t>
  </si>
  <si>
    <t>PAUD ARRAHMAN IBU ELI</t>
  </si>
  <si>
    <t xml:space="preserve">1 Mobil ( B 2081 FOR ) </t>
  </si>
  <si>
    <t>TK Arrahman cipedak</t>
  </si>
  <si>
    <t>2 Mobil ( B 2856 BIY ) ( B 2997 SFC )</t>
  </si>
  <si>
    <t>2 Mobil ( B 2997 SFC, B 2856 BIY )</t>
  </si>
  <si>
    <t>1 Mobil (              ), 4 Motor ,  4 Dewasa</t>
  </si>
  <si>
    <t>13,14,16,20,21,27&amp;28 juni 2026</t>
  </si>
  <si>
    <t>3 Dewasa, 1 Mobil (                      )</t>
  </si>
  <si>
    <t>13,14,16,20 Juni 2026</t>
  </si>
  <si>
    <t>RA Melati Al - Quran</t>
  </si>
  <si>
    <t xml:space="preserve"> 1 Mobil ( B 1601 ) </t>
  </si>
  <si>
    <t>Tao Kae Noi</t>
  </si>
  <si>
    <t>2 mobil 1 motor 3 dewasa</t>
  </si>
  <si>
    <t>13 , 14 juni 2026</t>
  </si>
  <si>
    <t>Yayasan baiturrahman</t>
  </si>
  <si>
    <t>B 2217 TIV</t>
  </si>
  <si>
    <t>samyang</t>
  </si>
  <si>
    <t>1 mobil, 1motor</t>
  </si>
  <si>
    <t>13,14 Juni 20206</t>
  </si>
  <si>
    <t xml:space="preserve">IDAI </t>
  </si>
  <si>
    <t>3 Mobil ( B 2090 SNP ), ( B 9315 WZM ), ( B 9402 PAL )</t>
  </si>
  <si>
    <t>Sekolah Khafillah</t>
  </si>
  <si>
    <t xml:space="preserve">3 Mobil ( B 1905 SMN ), ( B 1251 UOM ) , ( B 1484 DYN ) </t>
  </si>
  <si>
    <t>IDAI</t>
  </si>
  <si>
    <t>1 Mobil ( B 9682 KDD )</t>
  </si>
  <si>
    <t>rombongan Diana</t>
  </si>
  <si>
    <t>1 mobil (                         )</t>
  </si>
  <si>
    <t>loading barnag pendopo tsa 1</t>
  </si>
  <si>
    <t>IDAI HUT 72</t>
  </si>
  <si>
    <t>3 mobil ( B 9380 KQB ),( B 9037 TVA ) (B 9227 TAS )</t>
  </si>
  <si>
    <t>1 Mobil (                      ), 1 Dewasa</t>
  </si>
  <si>
    <t>16,20,21,22 dan 27 juni 2026</t>
  </si>
  <si>
    <t>Bakso Lapangan Tembak Senayan</t>
  </si>
  <si>
    <t xml:space="preserve">1 Mobil (               ) </t>
  </si>
  <si>
    <t>ice cream walls</t>
  </si>
  <si>
    <t>wings chit</t>
  </si>
  <si>
    <t>2 dewasa 1 motor</t>
  </si>
  <si>
    <t>needs ice cream</t>
  </si>
  <si>
    <t>8 dewasa 1 mobil</t>
  </si>
  <si>
    <t>14,16 dan 21 juni 2026</t>
  </si>
  <si>
    <t>pakuyuban budi luhur ( Pendopo Tsa 3 )</t>
  </si>
  <si>
    <t xml:space="preserve">1 Mobil ( B 1994 ERH ) </t>
  </si>
  <si>
    <t xml:space="preserve">GIO ( Lap Beringin ) </t>
  </si>
  <si>
    <t>1 Mobil ( B 2398 BKY )</t>
  </si>
  <si>
    <t>paud bhakti ibu</t>
  </si>
  <si>
    <t>1 Mobil ( B 1955 QO )</t>
  </si>
  <si>
    <t>Perhutani</t>
  </si>
  <si>
    <t>2 Mobil ( B 1067 DKF ) ( B 1059 DKF )</t>
  </si>
  <si>
    <t>TK ISLAM MASJID RAYA</t>
  </si>
  <si>
    <t xml:space="preserve">1 Mobil ( B 2628 FFE ) </t>
  </si>
  <si>
    <t>loading barang PENDOPO TSA 1</t>
  </si>
  <si>
    <t>SMP 41</t>
  </si>
  <si>
    <t>2 Mobil ( F 1813 AAT ) ( B 2972 SZX )</t>
  </si>
  <si>
    <t xml:space="preserve">Loading Barang AULA SERBAGUNA </t>
  </si>
  <si>
    <t xml:space="preserve">09.00 s/d 10.00 WiB </t>
  </si>
  <si>
    <t>TK Nurul Falah</t>
  </si>
  <si>
    <t>1 Mobil ( B1471 SYR )</t>
  </si>
  <si>
    <t>Loading Barang LAP TL</t>
  </si>
  <si>
    <t>Tao kae Noi</t>
  </si>
  <si>
    <t>20, 21 Juni 2026</t>
  </si>
  <si>
    <t>2 Dewasa 1 Motor</t>
  </si>
  <si>
    <t>Maksimal 06:00 WIB</t>
  </si>
  <si>
    <t xml:space="preserve">Walls ice cream </t>
  </si>
  <si>
    <t>21, 22 Juni 2026</t>
  </si>
  <si>
    <t>Bapak Soni</t>
  </si>
  <si>
    <t>1 Mobil ( B 1536 SZD )</t>
  </si>
  <si>
    <t>Teras Informasi</t>
  </si>
  <si>
    <t>Desman</t>
  </si>
  <si>
    <t>1 Mobil ( B 1193 KYF )</t>
  </si>
  <si>
    <t>Pendopo TSA 4</t>
  </si>
  <si>
    <t>PT. Aman Food Industri</t>
  </si>
  <si>
    <t xml:space="preserve">1 Mobil (               ), 1 Motor (              ), 2 Dewasa </t>
  </si>
  <si>
    <t>3 Mobil 3 Dewasa</t>
  </si>
  <si>
    <t>PT.CIMORY</t>
  </si>
  <si>
    <t>1 Mobil 3 Dewasa  (                          )</t>
  </si>
  <si>
    <t>27,28 juni  2026 3,4,5,11 &amp; 12 Juli 2026</t>
  </si>
  <si>
    <t>PT. Macrosentra Niaga /Cimory</t>
  </si>
  <si>
    <t>1 Mobil (                           ) 2 Orang</t>
  </si>
  <si>
    <t>27 dan 28 Juni 2026</t>
  </si>
  <si>
    <t xml:space="preserve">1 Mobil (                   ), 5 Dewasa  </t>
  </si>
  <si>
    <t>27,28 Juni, 5.12.19 Juli 2026</t>
  </si>
  <si>
    <t>Mayora Indah Kalpa</t>
  </si>
  <si>
    <t xml:space="preserve">1 Mobil (                 ), 5 Dewasa </t>
  </si>
  <si>
    <t>PT. Advisindo Artistika (IRIs)/ Teh Pucuk</t>
  </si>
  <si>
    <t>CV. Momentum</t>
  </si>
  <si>
    <t xml:space="preserve">2 Mobil (                        ), 8 Dewasa </t>
  </si>
  <si>
    <t>26,27,28 Juni 2026</t>
  </si>
  <si>
    <t>Erza Meriyanti</t>
  </si>
  <si>
    <t>B 2675 TYG</t>
  </si>
  <si>
    <t>Wahyu</t>
  </si>
  <si>
    <t>B 1792 SLQ</t>
  </si>
  <si>
    <t>Pendopo TSA 3</t>
  </si>
  <si>
    <t>Maksimal 09:00 WIB</t>
  </si>
  <si>
    <t xml:space="preserve">4 Dewasa ,1 Mobil </t>
  </si>
  <si>
    <t>PIZZA HUT</t>
  </si>
  <si>
    <t>3 Dewasa, 1 Motor (                )</t>
  </si>
  <si>
    <t>27, 28 Juni 2026</t>
  </si>
  <si>
    <t>PT. Boga Utama mi samyang</t>
  </si>
  <si>
    <t>Yuyun prihastuti ( Teras Informasi )</t>
  </si>
  <si>
    <t>1 Mobil ( B 1758 DYD )</t>
  </si>
  <si>
    <t>GKI Kayu Putih ( Pendopo TSA 1 )</t>
  </si>
  <si>
    <t xml:space="preserve">1 Mobil ( B 2899 TIG ) </t>
  </si>
  <si>
    <t xml:space="preserve">Loading Barang Pendopo TSA 1 </t>
  </si>
  <si>
    <t>Es Krim Walls</t>
  </si>
  <si>
    <t>1 Mobil (                     )</t>
  </si>
  <si>
    <t xml:space="preserve">1 Mobil (               ), 1 Motor (              ), 3 Dewasa </t>
  </si>
  <si>
    <t>1,2,4,5,7,8,9,11,12,18,19,25 dan 26 Juli tahun 2026</t>
  </si>
  <si>
    <t>perumahan koperasi BUGN Rw 10</t>
  </si>
  <si>
    <t>2 MOBIL (  B 1769 ZMJ), (B 1971 ZFE)</t>
  </si>
  <si>
    <t>LOADING BARANG AULA SERBAGUNA</t>
  </si>
  <si>
    <t>ice cream dhorid</t>
  </si>
  <si>
    <t>1 mobil 1 dewasa</t>
  </si>
  <si>
    <t>28 juni dan 4, 5, 7,  11 juli 2026</t>
  </si>
  <si>
    <t xml:space="preserve"> KEVIN ( GAZEBO )</t>
  </si>
  <si>
    <t xml:space="preserve">1 Mobil ( B 1949 FKE ) </t>
  </si>
  <si>
    <t xml:space="preserve">Pendopo TSA 4 ( Bapak Irwan ) </t>
  </si>
  <si>
    <t xml:space="preserve">1 Mobil ( B 1436 DFL ) </t>
  </si>
  <si>
    <t>Bapak Iskandar</t>
  </si>
  <si>
    <t>1 Mobil (B 2089 TYN)</t>
  </si>
  <si>
    <t>Loading Barang di lap TL</t>
  </si>
  <si>
    <t xml:space="preserve">Samsul Hadi ( Lapangan ATM 1 ) </t>
  </si>
  <si>
    <t>1 Mobil ( B 9655 TCP )</t>
  </si>
  <si>
    <t xml:space="preserve">Loading Barang Lap ATM 1 </t>
  </si>
  <si>
    <t>ibu INEZ (Pendopo 1)</t>
  </si>
  <si>
    <t>1 Mobil ( B2057 KYG )</t>
  </si>
  <si>
    <t>PT. Kobe Boga Utama</t>
  </si>
  <si>
    <t>1 Mobil (               ) 2 Motor (               ,                ) 6 Dewasa</t>
  </si>
  <si>
    <t>3,4 dan 5 Juli 2026</t>
  </si>
  <si>
    <t>Mie Kremes</t>
  </si>
  <si>
    <t>1 Mobil (                        )</t>
  </si>
  <si>
    <t>loading barang pemasangan Balon Maskot Mie kremes</t>
  </si>
  <si>
    <t>NICHOLIUS</t>
  </si>
  <si>
    <t>1 Mobil ( B 2166 PYA )</t>
  </si>
  <si>
    <t>loading Barang  Pondopo 2</t>
  </si>
  <si>
    <t>Maria Nurul</t>
  </si>
  <si>
    <t>F 1106 JC</t>
  </si>
  <si>
    <t>Bapak Ari</t>
  </si>
  <si>
    <t>1 Mobil ( B 2378 FOK )</t>
  </si>
  <si>
    <t>Loading barang Pendopo TSA 4</t>
  </si>
  <si>
    <t>PT. Aplus Multi Kreasi</t>
  </si>
  <si>
    <t xml:space="preserve">1 Mobil (                     ) 3 Orang </t>
  </si>
  <si>
    <t>3,4,5,10,11 dan 12 Juni 2026</t>
  </si>
  <si>
    <t>AGAPE</t>
  </si>
  <si>
    <t xml:space="preserve"> 1 Mobil ( B 7059 UM )</t>
  </si>
  <si>
    <t>07,00 s/d 07,30 WIB.</t>
  </si>
  <si>
    <t>4,5,11,12 juli 2026</t>
  </si>
  <si>
    <t xml:space="preserve">3 Dewasa, 1 Motor (             ) </t>
  </si>
  <si>
    <t>4 dan 5 Juli 2026</t>
  </si>
  <si>
    <t>2 Dewasa 1 Motor (                      )</t>
  </si>
  <si>
    <t>4,5,11,12,18,19,25,26 JULI dan 1,2 Agustus 2026</t>
  </si>
  <si>
    <t>The Passion Indonesia</t>
  </si>
  <si>
    <t xml:space="preserve">2 Mobil ( B 1285 SZT ), ( B 9156 ZYA ) </t>
  </si>
  <si>
    <t xml:space="preserve">2 Mobil ( B 2516 PZE ), ( B 2518 PZE ) </t>
  </si>
  <si>
    <t xml:space="preserve">1 Mobil ( B 2070 SRS ) </t>
  </si>
  <si>
    <t>Ciimory (LA)</t>
  </si>
  <si>
    <t>4 dewasa, 1 mobil,  4 motor (4310 SLC, 3716 SXR, 4730 SXM, 4573 SGS)</t>
  </si>
  <si>
    <t>4,5 Juli 2026</t>
  </si>
  <si>
    <t>2  dewasa 1 motor 1 mobil</t>
  </si>
  <si>
    <t>4,5,11,12,25,26 Juli dan 01,02 Agustus 2026</t>
  </si>
  <si>
    <t>Teh pucuk</t>
  </si>
  <si>
    <t>wingschit</t>
  </si>
  <si>
    <t>1 deeasa 1 motor 1 mobil</t>
  </si>
  <si>
    <t>4,5,11,12 Juli 2026</t>
  </si>
  <si>
    <t>Rahma ( Pendopo TSA 4 )</t>
  </si>
  <si>
    <t>1 Mobil ( B 1944 KRT )</t>
  </si>
  <si>
    <t>1 Mobil 2 Dewasa</t>
  </si>
  <si>
    <t>4, 5, 11, 12 Juli 2026</t>
  </si>
  <si>
    <t>PT. Indosakti/ KItkat</t>
  </si>
  <si>
    <t>1 Mobil (                ) 4 Dewasa</t>
  </si>
  <si>
    <t>1 Mobil (              ), 1 Motor (             ), 3 Dewasa</t>
  </si>
  <si>
    <t>5, 12, 19, dan 26 Juli 2026</t>
  </si>
  <si>
    <t>Fauzan</t>
  </si>
  <si>
    <t>B 2758 TIH</t>
  </si>
  <si>
    <t>TSIK 1</t>
  </si>
  <si>
    <t>CV. YUDHA SETIAWAN</t>
  </si>
  <si>
    <t xml:space="preserve">1 MOBIL </t>
  </si>
  <si>
    <t>3 DEWASA 1 MOBIL</t>
  </si>
  <si>
    <t>5,12,19,25,26 Juli 2026</t>
  </si>
  <si>
    <t>Bapak Mujiono</t>
  </si>
  <si>
    <t>B 1628 DKQ</t>
  </si>
  <si>
    <t>ISROI</t>
  </si>
  <si>
    <t>B 107 MI</t>
  </si>
  <si>
    <t xml:space="preserve">Loading barang Teras Informasi </t>
  </si>
  <si>
    <t>GBI GRIYA ASRI 2</t>
  </si>
  <si>
    <t>1 Mobil ( B 2522 FFE )</t>
  </si>
  <si>
    <t xml:space="preserve">Shella ( Pendopo TSA 2 ) </t>
  </si>
  <si>
    <t xml:space="preserve">1 Mobil ( B 1727 BMK ) </t>
  </si>
  <si>
    <t>Caladine</t>
  </si>
  <si>
    <t>10, 11, 12 Juli 2026</t>
  </si>
  <si>
    <t>Yusuf Eko Prihanto</t>
  </si>
  <si>
    <t>B 2695 SOQ</t>
  </si>
  <si>
    <t>Loading Barang LAP SEBRANG TSA (PELURAN)</t>
  </si>
  <si>
    <t xml:space="preserve"> IBU WIWIK KPKP</t>
  </si>
  <si>
    <t>B 2606 SZG</t>
  </si>
  <si>
    <t>Loading Barang LAP ATM 3</t>
  </si>
  <si>
    <t>HWY LEAGUE GKKK (Gazebo)</t>
  </si>
  <si>
    <t>1 Mobil ( B 1257 CZF )</t>
  </si>
  <si>
    <t>Gazebo</t>
  </si>
  <si>
    <t>BU IRMA TMR</t>
  </si>
  <si>
    <t>1 Mobil ( B 297 DRA )</t>
  </si>
  <si>
    <t>9 July 2026</t>
  </si>
  <si>
    <t>Loading Barang Pendopo 3</t>
  </si>
  <si>
    <t>Maman Sukirman</t>
  </si>
  <si>
    <t>2 Mobil ( B 1133 KIS dan B 2048 KVI )</t>
  </si>
  <si>
    <t>Loading Barang di Lap Timur Informasi</t>
  </si>
  <si>
    <t>06.00 s/d 09.00 WIB</t>
  </si>
  <si>
    <t>Sunaryo</t>
  </si>
  <si>
    <t xml:space="preserve"> B 9325 KSW</t>
  </si>
  <si>
    <t xml:space="preserve">Es potong dhorid
</t>
  </si>
  <si>
    <t>1 Dewasa dan  1 Mobi l (                      )</t>
  </si>
  <si>
    <t>11,12, 18,19,25,26 juli 2026</t>
  </si>
  <si>
    <t>Taufik</t>
  </si>
  <si>
    <t>B 1927 KJJ</t>
  </si>
  <si>
    <t>2 dewasa 1 mobil</t>
  </si>
  <si>
    <t>11,12 Juli 2026</t>
  </si>
  <si>
    <t>Rombongan sabdo Pendopo TSA 1</t>
  </si>
  <si>
    <t xml:space="preserve">2 Mobil (  B 2696 TIW  ), ( B 2223 TZK ) </t>
  </si>
  <si>
    <t>PT Macrosentra Niaga Boga</t>
  </si>
  <si>
    <t>3 Dewasa, 3 Motor (             ), (              ), (               )</t>
  </si>
  <si>
    <t>Tiara ( Gazebo )</t>
  </si>
  <si>
    <t xml:space="preserve">1 Mobil ( B 2551 KOE ) </t>
  </si>
  <si>
    <t xml:space="preserve">Ibu Awit ( Pendopo 1 ) </t>
  </si>
  <si>
    <t xml:space="preserve">1 Mobil ( B 1010 TYA ) </t>
  </si>
  <si>
    <t>Yayasan Ali Atthalah</t>
  </si>
  <si>
    <t>1 Mobil ( B 2405 SYY )</t>
  </si>
  <si>
    <t>Loading Barang lokasi Lap ATM 4</t>
  </si>
  <si>
    <t>PT Magenta</t>
  </si>
  <si>
    <t>bapak mujiono ( Pendopo TSA 3 )</t>
  </si>
  <si>
    <t>1 Mobil ( B 1628 DKQ )</t>
  </si>
  <si>
    <t>Syahbania (Pendopo TSA 2)</t>
  </si>
  <si>
    <t>1 MOBIL ( GRAB )</t>
  </si>
  <si>
    <t xml:space="preserve">IBU GARYATI </t>
  </si>
  <si>
    <t>2 Mobil ( B 1011 DKZ ) (  B 2732 PZX     )</t>
  </si>
  <si>
    <t>loading Barang  Gazebo</t>
  </si>
  <si>
    <t>Mami AL</t>
  </si>
  <si>
    <t>Ibu ria</t>
  </si>
  <si>
    <t>25,26 Juli dan 1,2,8,9,15,16,22 Agustus 2026</t>
  </si>
  <si>
    <t>3 Dewasa, 3 Mobil (                   )</t>
  </si>
  <si>
    <t>18.19.25.26 juli 2026</t>
  </si>
  <si>
    <t>DWI</t>
  </si>
  <si>
    <t>1 Mobil ( B 1811 WZJ )</t>
  </si>
  <si>
    <t>Loading Barang LAP ATM 2</t>
  </si>
  <si>
    <t>18,19,25 dan 26 juli 2026</t>
  </si>
  <si>
    <t>LUSY</t>
  </si>
  <si>
    <t>1 Mobil (B 1938 WQ)</t>
  </si>
  <si>
    <t>loading barang Pedopo TSA 3</t>
  </si>
  <si>
    <t>ILZA</t>
  </si>
  <si>
    <t>1 Mobil (B 2190 NLO)</t>
  </si>
  <si>
    <t>Ibu Ati Roniih</t>
  </si>
  <si>
    <t xml:space="preserve">1 Mobil ( B 1526 UIV ) </t>
  </si>
  <si>
    <t>Loading Barang Pedopo TSA 3</t>
  </si>
  <si>
    <t>3 Orang 1 Mobil</t>
  </si>
  <si>
    <t>11,19,dan 26 Juli 2026</t>
  </si>
  <si>
    <t>Yunus</t>
  </si>
  <si>
    <t>1 Mobil (</t>
  </si>
  <si>
    <t xml:space="preserve">yunis </t>
  </si>
  <si>
    <t>( B 2017 NFD )</t>
  </si>
  <si>
    <t>Erlazet Charity (irwan)</t>
  </si>
  <si>
    <t>B 1891 TIG</t>
  </si>
  <si>
    <t>LAP BERINGIN</t>
  </si>
  <si>
    <t>Eter/Yayasan Lilin Pelita Kasih</t>
  </si>
  <si>
    <t xml:space="preserve"> Ambulance ( B 1049 JIX )</t>
  </si>
  <si>
    <t>Pondopo TSA 3</t>
  </si>
  <si>
    <t>Susi</t>
  </si>
  <si>
    <t>B 1225  RZH</t>
  </si>
  <si>
    <t>Riana</t>
  </si>
  <si>
    <t>B 2490 SYR</t>
  </si>
  <si>
    <t xml:space="preserve">Loading barang Pendopo TSA 1 </t>
  </si>
  <si>
    <t>Aditya</t>
  </si>
  <si>
    <t>A 1572 ZB</t>
  </si>
  <si>
    <t>07,00 s/d 08,00 WIB.</t>
  </si>
  <si>
    <t>sri artha</t>
  </si>
  <si>
    <t>B 2627 wfa</t>
  </si>
  <si>
    <t>Photo Prewed danau</t>
  </si>
  <si>
    <t>Saiful ( Teras Informasi )</t>
  </si>
  <si>
    <t xml:space="preserve">1 Mobil ( B 1936 FKW ) </t>
  </si>
  <si>
    <t xml:space="preserve">IKPI Jaksel Ibu Debi ( Lap Timur Informasi ) </t>
  </si>
  <si>
    <t xml:space="preserve">1 Mobil ( B 1285 SZT ) </t>
  </si>
  <si>
    <t xml:space="preserve">Loading Barang Lap Timur Informasi </t>
  </si>
  <si>
    <t xml:space="preserve">B 1257 DZD dan B 9489 BAZ </t>
  </si>
  <si>
    <t>Es pot Dhorid</t>
  </si>
  <si>
    <t>1,2,8 dan 9 agustus 2026</t>
  </si>
  <si>
    <t>Bapak Suwadi</t>
  </si>
  <si>
    <t xml:space="preserve">B 1193 WUC </t>
  </si>
  <si>
    <t xml:space="preserve">Loading Barang Lap Peluran </t>
  </si>
  <si>
    <t>1,2,8,9,15,16,22,23,29 dan 30 Agustus Tahun 2026</t>
  </si>
  <si>
    <t>PRAYATNA EO Oishi</t>
  </si>
  <si>
    <t>4 Dewasa   1 Mobil (                          )    4 Motor (             )</t>
  </si>
  <si>
    <t>1,2,8,9,15 dan 16 agustus 2026</t>
  </si>
  <si>
    <t xml:space="preserve">Ibu Titi </t>
  </si>
  <si>
    <t xml:space="preserve"> B 8005 TI </t>
  </si>
  <si>
    <t>loading Barang Pondopo 1</t>
  </si>
  <si>
    <t xml:space="preserve">14.00 s/d 15.30 WIB </t>
  </si>
  <si>
    <t xml:space="preserve"> 3 Mobil ( B 1556 -08 ) ( B 2583 BJD ) ( B 1451 CZQ )</t>
  </si>
  <si>
    <t>loading barang pondopo 1</t>
  </si>
  <si>
    <t xml:space="preserve">1 Mobil , 3 Dewasa </t>
  </si>
  <si>
    <t>1,2,9,16,23,30 Agustus 2026</t>
  </si>
  <si>
    <t xml:space="preserve">1 Mobil (                      ) 2 Orang </t>
  </si>
  <si>
    <t>1 dan 2 Agustus 2026</t>
  </si>
  <si>
    <t xml:space="preserve"> Kemal abdul rachman ( Lap ATM 1 ) </t>
  </si>
  <si>
    <t xml:space="preserve">1 Mobil ( B 1938 DKK ) </t>
  </si>
  <si>
    <t>aman food</t>
  </si>
  <si>
    <t>1 Mobil, 1 Motor, 2 Dewasa</t>
  </si>
  <si>
    <t>2, 9, 16, 23, dan 30 Agustus 2026</t>
  </si>
  <si>
    <t>Ibu Dahlia</t>
  </si>
  <si>
    <t>1 mobil ( B 1870 EOS )</t>
  </si>
  <si>
    <t xml:space="preserve">paguyuban  ngudi lestari </t>
  </si>
  <si>
    <t>B 2282 SZP</t>
  </si>
  <si>
    <t>loading barang lapangan TSIK</t>
  </si>
  <si>
    <t xml:space="preserve">1 Motor, 2 Dewasa </t>
  </si>
  <si>
    <t>8,9,15,16,17,22,23,25,29,30 Agustus 2025</t>
  </si>
  <si>
    <t>Ibu Faiza Harris</t>
  </si>
  <si>
    <t>B 2582 RJ</t>
  </si>
  <si>
    <t>Loading Gazebo</t>
  </si>
  <si>
    <t>Paguyuban Pawar Asem Jaya</t>
  </si>
  <si>
    <t xml:space="preserve">A 1448 VHA </t>
  </si>
  <si>
    <t>07,00 s/d 08,00 WIB</t>
  </si>
  <si>
    <t xml:space="preserve"> ibu faiza</t>
  </si>
  <si>
    <t>WKRI Ranting 4</t>
  </si>
  <si>
    <t>B 266 ADV</t>
  </si>
  <si>
    <t>8 aguistus 2026</t>
  </si>
  <si>
    <t>loading barang LAP TSIK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</si>
</sst>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, &quot;dd&quot; &quot;mmmm&quot; &quot;yyyy"/>
    <numFmt numFmtId="165" formatCode="dd mmmm yyyy"/>
    <numFmt numFmtId="166" formatCode="d mmmm yyyy"/>
    <numFmt numFmtId="167" formatCode="dddd, d mmmm yyyy"/>
    <numFmt numFmtId="168" formatCode="dd/mm/yyyy"/>
    <numFmt numFmtId="169" formatCode="dddd d mmmm yyyy"/>
    <numFmt numFmtId="170" formatCode="d mmmm"/>
    <numFmt numFmtId="171" formatCode="d/m/yyyy"/>
    <numFmt numFmtId="172" formatCode="d-mmm-yyyy"/>
    <numFmt numFmtId="173" formatCode="dd-mmm-yyyy"/>
    <numFmt numFmtId="174" formatCode="d-mmmm-yyyy"/>
    <numFmt numFmtId="175" formatCode="d, mmmm yyyy"/>
  </numFmts>
  <fonts count="50">
    <font>
      <sz val="10.0"/>
      <color rgb="FF000000"/>
      <name val="Arial"/>
      <scheme val="minor"/>
    </font>
    <font>
      <b/>
      <sz val="15.0"/>
      <color theme="1"/>
      <name val="Arial"/>
    </font>
    <font>
      <b/>
      <color theme="1"/>
      <name val="Arial"/>
    </font>
    <font>
      <b/>
      <sz val="15.0"/>
      <color theme="1"/>
      <name val="Anton"/>
    </font>
    <font>
      <sz val="10.0"/>
      <color theme="1"/>
      <name val="Arial"/>
    </font>
    <font>
      <sz val="20.0"/>
      <color theme="1"/>
      <name val="Arial"/>
    </font>
    <font>
      <color theme="1"/>
      <name val="Arial"/>
    </font>
    <font>
      <b/>
      <color rgb="FF222222"/>
      <name val="&quot;Arial&quot;"/>
    </font>
    <font>
      <b/>
      <sz val="19.0"/>
      <color theme="1"/>
      <name val="Anton"/>
    </font>
    <font>
      <color theme="1"/>
      <name val="Arial"/>
      <scheme val="minor"/>
    </font>
    <font>
      <u/>
      <sz val="10.0"/>
      <color rgb="FF0000FF"/>
      <name val="Arial"/>
    </font>
    <font>
      <b/>
      <sz val="20.0"/>
      <color theme="1"/>
      <name val="Arial"/>
    </font>
    <font>
      <sz val="12.0"/>
      <color theme="1"/>
      <name val="Arial"/>
    </font>
    <font>
      <sz val="15.0"/>
      <color theme="1"/>
      <name val="Arial"/>
    </font>
    <font>
      <u/>
      <sz val="10.0"/>
      <color rgb="FF0000FF"/>
      <name val="Arial"/>
    </font>
    <font>
      <u/>
      <sz val="15.0"/>
      <color rgb="FF0000FF"/>
      <name val="Arial"/>
    </font>
    <font>
      <b/>
      <sz val="12.0"/>
      <color theme="1"/>
      <name val="Arial"/>
    </font>
    <font/>
    <font>
      <b/>
      <sz val="16.0"/>
      <color theme="1"/>
      <name val="Arial"/>
    </font>
    <font>
      <sz val="16.0"/>
      <color theme="1"/>
      <name val="Arial"/>
    </font>
    <font>
      <b/>
      <sz val="12.0"/>
      <color rgb="FF000000"/>
      <name val="Arial"/>
    </font>
    <font>
      <sz val="11.0"/>
      <color rgb="FF222222"/>
      <name val="&quot;Arial&quot;"/>
    </font>
    <font>
      <b/>
      <color rgb="FF222222"/>
      <name val="Arial"/>
    </font>
    <font>
      <sz val="10.0"/>
      <color rgb="FF222222"/>
      <name val="Arial"/>
    </font>
    <font>
      <sz val="12.0"/>
      <color theme="1"/>
      <name val="&quot;Arial&quot;"/>
    </font>
    <font>
      <sz val="10.0"/>
      <color rgb="FF3C4043"/>
      <name val="Arial"/>
    </font>
    <font>
      <b/>
      <u/>
      <sz val="16.0"/>
      <color theme="1"/>
      <name val="Arial"/>
    </font>
    <font>
      <sz val="12.0"/>
      <color rgb="FF3C4043"/>
      <name val="Roboto"/>
    </font>
    <font>
      <sz val="10.0"/>
      <color rgb="FF000000"/>
      <name val="Arial"/>
    </font>
    <font>
      <b/>
      <sz val="12.0"/>
      <color rgb="FF222222"/>
      <name val="&quot;Arial&quot;"/>
    </font>
    <font>
      <b/>
      <sz val="12.0"/>
      <color rgb="FF222222"/>
      <name val="Arial"/>
    </font>
    <font>
      <b/>
      <sz val="9.0"/>
      <color rgb="FF222222"/>
      <name val="&quot;Arial&quot;"/>
    </font>
    <font>
      <b/>
      <sz val="10.0"/>
      <color rgb="FF222222"/>
      <name val="&quot;Times New Roman&quot;"/>
    </font>
    <font>
      <sz val="12.0"/>
      <color rgb="FF000000"/>
      <name val="Arial"/>
    </font>
    <font>
      <b/>
      <sz val="11.0"/>
      <color rgb="FF222222"/>
      <name val="&quot;Arial&quot;"/>
    </font>
    <font>
      <b/>
      <sz val="12.0"/>
      <color rgb="FF222222"/>
      <name val="&quot;Times New Roman&quot;"/>
    </font>
    <font>
      <sz val="10.0"/>
      <color rgb="FF5F6368"/>
      <name val="Arial"/>
    </font>
    <font>
      <b/>
      <color rgb="FF3C4043"/>
      <name val="&quot;Arial&quot;"/>
    </font>
    <font>
      <color rgb="FF222222"/>
      <name val="&quot;Arial&quot;"/>
    </font>
    <font>
      <sz val="10.0"/>
      <color rgb="FF222222"/>
      <name val="&quot;Arial&quot;"/>
    </font>
    <font>
      <sz val="12.0"/>
      <color rgb="FF222222"/>
      <name val="&quot;Times New Roman&quot;"/>
    </font>
    <font>
      <color rgb="FF222222"/>
      <name val="Arial"/>
    </font>
    <font>
      <sz val="12.0"/>
      <color rgb="FF000000"/>
      <name val="&quot;Arial&quot;"/>
    </font>
    <font>
      <sz val="14.0"/>
      <color theme="1"/>
      <name val="Calibri"/>
    </font>
    <font>
      <b/>
      <sz val="9.0"/>
      <color rgb="FF222222"/>
      <name val="Arial"/>
    </font>
    <font>
      <b/>
      <sz val="10.0"/>
      <color rgb="FF222222"/>
      <name val="&quot;Arial&quot;"/>
    </font>
    <font>
      <b/>
      <sz val="11.0"/>
      <color rgb="FF222222"/>
      <name val="Arial"/>
    </font>
    <font>
      <b/>
      <sz val="10.0"/>
      <color rgb="FF222222"/>
      <name val="Arial"/>
    </font>
    <font>
      <sz val="12.0"/>
      <color rgb="FF01CEBC"/>
      <name val="Roboto"/>
    </font>
    <font>
      <color rgb="FF5F6368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4BE2D"/>
        <bgColor rgb="FF94BE2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9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1" fillId="0" fontId="4" numFmtId="0" xfId="0" applyAlignment="1" applyBorder="1" applyFont="1">
      <alignment horizontal="left" readingOrder="0" vertical="center"/>
    </xf>
    <xf borderId="0" fillId="0" fontId="6" numFmtId="0" xfId="0" applyFont="1"/>
    <xf borderId="0" fillId="4" fontId="7" numFmtId="0" xfId="0" applyAlignment="1" applyFill="1" applyFont="1">
      <alignment horizontal="left" readingOrder="0"/>
    </xf>
    <xf borderId="1" fillId="2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5" fontId="10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2" fillId="0" fontId="6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left" readingOrder="0" vertical="center"/>
    </xf>
    <xf borderId="0" fillId="0" fontId="9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 vertical="bottom"/>
    </xf>
    <xf borderId="0" fillId="0" fontId="9" numFmtId="165" xfId="0" applyAlignment="1" applyFont="1" applyNumberFormat="1">
      <alignment readingOrder="0" shrinkToFit="0" vertical="center" wrapText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left" readingOrder="0" vertical="center"/>
    </xf>
    <xf borderId="0" fillId="0" fontId="12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vertical="center"/>
    </xf>
    <xf borderId="0" fillId="0" fontId="15" numFmtId="0" xfId="0" applyAlignment="1" applyFont="1">
      <alignment horizontal="center" readingOrder="0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3" fillId="0" fontId="6" numFmtId="0" xfId="0" applyBorder="1" applyFont="1"/>
    <xf borderId="3" fillId="0" fontId="16" numFmtId="0" xfId="0" applyAlignment="1" applyBorder="1" applyFont="1">
      <alignment horizontal="center" readingOrder="0"/>
    </xf>
    <xf borderId="3" fillId="0" fontId="17" numFmtId="0" xfId="0" applyBorder="1" applyFon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right" readingOrder="0"/>
    </xf>
    <xf borderId="0" fillId="0" fontId="9" numFmtId="0" xfId="0" applyAlignment="1" applyFont="1">
      <alignment shrinkToFit="0" vertical="center" wrapText="0"/>
    </xf>
    <xf borderId="4" fillId="0" fontId="20" numFmtId="0" xfId="0" applyAlignment="1" applyBorder="1" applyFont="1">
      <alignment horizontal="left" readingOrder="0" shrinkToFit="0" vertical="center" wrapText="0"/>
    </xf>
    <xf borderId="4" fillId="0" fontId="17" numFmtId="0" xfId="0" applyBorder="1" applyFont="1"/>
    <xf borderId="0" fillId="0" fontId="9" numFmtId="166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horizontal="left" vertical="center"/>
    </xf>
    <xf borderId="0" fillId="4" fontId="21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1" fillId="0" fontId="4" numFmtId="167" xfId="0" applyAlignment="1" applyBorder="1" applyFont="1" applyNumberFormat="1">
      <alignment horizontal="left" readingOrder="0" vertical="center"/>
    </xf>
    <xf borderId="0" fillId="4" fontId="22" numFmtId="0" xfId="0" applyAlignment="1" applyFont="1">
      <alignment horizontal="left" readingOrder="0"/>
    </xf>
    <xf borderId="0" fillId="4" fontId="22" numFmtId="167" xfId="0" applyAlignment="1" applyFont="1" applyNumberFormat="1">
      <alignment horizontal="left" readingOrder="0"/>
    </xf>
    <xf borderId="0" fillId="4" fontId="23" numFmtId="0" xfId="0" applyAlignment="1" applyFont="1">
      <alignment horizontal="left" readingOrder="0"/>
    </xf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0" fontId="4" numFmtId="4" xfId="0" applyAlignment="1" applyFont="1" applyNumberFormat="1">
      <alignment horizontal="left" vertical="center"/>
    </xf>
    <xf borderId="0" fillId="0" fontId="24" numFmtId="0" xfId="0" applyAlignment="1" applyFont="1">
      <alignment horizontal="left" readingOrder="0"/>
    </xf>
    <xf borderId="0" fillId="0" fontId="18" numFmtId="0" xfId="0" applyAlignment="1" applyFont="1">
      <alignment readingOrder="0" vertical="center"/>
    </xf>
    <xf borderId="1" fillId="0" fontId="4" numFmtId="166" xfId="0" applyAlignment="1" applyBorder="1" applyFont="1" applyNumberFormat="1">
      <alignment horizontal="left" readingOrder="0" vertical="center"/>
    </xf>
    <xf borderId="0" fillId="4" fontId="25" numFmtId="0" xfId="0" applyAlignment="1" applyFont="1">
      <alignment horizontal="left" readingOrder="0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vertical="center"/>
    </xf>
    <xf borderId="1" fillId="0" fontId="4" numFmtId="168" xfId="0" applyAlignment="1" applyBorder="1" applyFont="1" applyNumberFormat="1">
      <alignment horizontal="left" readingOrder="0" vertical="center"/>
    </xf>
    <xf borderId="0" fillId="0" fontId="18" numFmtId="0" xfId="0" applyAlignment="1" applyFont="1">
      <alignment horizontal="left" readingOrder="0" shrinkToFit="0" vertical="center" wrapText="1"/>
    </xf>
    <xf borderId="0" fillId="4" fontId="23" numFmtId="166" xfId="0" applyAlignment="1" applyFont="1" applyNumberFormat="1">
      <alignment horizontal="left" readingOrder="0"/>
    </xf>
    <xf borderId="0" fillId="0" fontId="26" numFmtId="0" xfId="0" applyAlignment="1" applyFont="1">
      <alignment readingOrder="0"/>
    </xf>
    <xf borderId="0" fillId="0" fontId="19" numFmtId="0" xfId="0" applyAlignment="1" applyFont="1">
      <alignment horizontal="center" readingOrder="0" vertical="top"/>
    </xf>
    <xf borderId="0" fillId="0" fontId="19" numFmtId="0" xfId="0" applyAlignment="1" applyFont="1">
      <alignment readingOrder="0" shrinkToFit="0" vertical="center" wrapText="1"/>
    </xf>
    <xf borderId="0" fillId="4" fontId="27" numFmtId="0" xfId="0" applyAlignment="1" applyFont="1">
      <alignment readingOrder="0"/>
    </xf>
    <xf borderId="0" fillId="0" fontId="28" numFmtId="166" xfId="0" applyAlignment="1" applyFont="1" applyNumberFormat="1">
      <alignment horizontal="left" readingOrder="0"/>
    </xf>
    <xf borderId="0" fillId="0" fontId="28" numFmtId="0" xfId="0" applyAlignment="1" applyFont="1">
      <alignment horizontal="left" readingOrder="0"/>
    </xf>
    <xf borderId="0" fillId="4" fontId="29" numFmtId="0" xfId="0" applyAlignment="1" applyFont="1">
      <alignment horizontal="left" readingOrder="0"/>
    </xf>
    <xf borderId="0" fillId="0" fontId="19" numFmtId="0" xfId="0" applyAlignment="1" applyFont="1">
      <alignment horizontal="center"/>
    </xf>
    <xf borderId="0" fillId="0" fontId="12" numFmtId="0" xfId="0" applyFont="1"/>
    <xf borderId="0" fillId="4" fontId="30" numFmtId="0" xfId="0" applyAlignment="1" applyFont="1">
      <alignment readingOrder="0"/>
    </xf>
    <xf borderId="0" fillId="4" fontId="22" numFmtId="0" xfId="0" applyAlignment="1" applyFont="1">
      <alignment readingOrder="0"/>
    </xf>
    <xf borderId="1" fillId="0" fontId="4" numFmtId="165" xfId="0" applyAlignment="1" applyBorder="1" applyFont="1" applyNumberFormat="1">
      <alignment horizontal="left" readingOrder="0" vertical="center"/>
    </xf>
    <xf borderId="0" fillId="4" fontId="31" numFmtId="0" xfId="0" applyAlignment="1" applyFont="1">
      <alignment horizontal="left" readingOrder="0"/>
    </xf>
    <xf borderId="0" fillId="4" fontId="7" numFmtId="0" xfId="0" applyAlignment="1" applyFont="1">
      <alignment horizontal="center" readingOrder="0"/>
    </xf>
    <xf borderId="0" fillId="4" fontId="32" numFmtId="0" xfId="0" applyAlignment="1" applyFont="1">
      <alignment horizontal="left" readingOrder="0"/>
    </xf>
    <xf borderId="0" fillId="0" fontId="33" numFmtId="0" xfId="0" applyAlignment="1" applyFont="1">
      <alignment readingOrder="0"/>
    </xf>
    <xf borderId="0" fillId="4" fontId="34" numFmtId="0" xfId="0" applyAlignment="1" applyFont="1">
      <alignment horizontal="left" readingOrder="0"/>
    </xf>
    <xf borderId="0" fillId="4" fontId="35" numFmtId="0" xfId="0" applyAlignment="1" applyFont="1">
      <alignment horizontal="left" readingOrder="0"/>
    </xf>
    <xf borderId="0" fillId="4" fontId="35" numFmtId="167" xfId="0" applyAlignment="1" applyFont="1" applyNumberFormat="1">
      <alignment horizontal="center" readingOrder="0"/>
    </xf>
    <xf borderId="0" fillId="0" fontId="25" numFmtId="0" xfId="0" applyAlignment="1" applyFont="1">
      <alignment horizontal="left" readingOrder="0" shrinkToFit="0" wrapText="0"/>
    </xf>
    <xf borderId="1" fillId="0" fontId="4" numFmtId="169" xfId="0" applyAlignment="1" applyBorder="1" applyFont="1" applyNumberFormat="1">
      <alignment horizontal="left" readingOrder="0" vertical="center"/>
    </xf>
    <xf borderId="0" fillId="4" fontId="30" numFmtId="0" xfId="0" applyAlignment="1" applyFont="1">
      <alignment horizontal="left" readingOrder="0"/>
    </xf>
    <xf borderId="1" fillId="0" fontId="4" numFmtId="170" xfId="0" applyAlignment="1" applyBorder="1" applyFont="1" applyNumberFormat="1">
      <alignment horizontal="left" readingOrder="0" vertical="center"/>
    </xf>
    <xf borderId="0" fillId="4" fontId="29" numFmtId="0" xfId="0" applyAlignment="1" applyFont="1">
      <alignment horizontal="center" readingOrder="0"/>
    </xf>
    <xf borderId="0" fillId="4" fontId="21" numFmtId="0" xfId="0" applyAlignment="1" applyFont="1">
      <alignment horizontal="left" readingOrder="0"/>
    </xf>
    <xf borderId="0" fillId="0" fontId="25" numFmtId="0" xfId="0" applyAlignment="1" applyFont="1">
      <alignment horizontal="left" readingOrder="0" shrinkToFit="0" vertical="center" wrapText="0"/>
    </xf>
    <xf borderId="0" fillId="4" fontId="23" numFmtId="0" xfId="0" applyAlignment="1" applyFont="1">
      <alignment readingOrder="0"/>
    </xf>
    <xf borderId="0" fillId="0" fontId="36" numFmtId="0" xfId="0" applyAlignment="1" applyFont="1">
      <alignment horizontal="left" readingOrder="0" shrinkToFit="0" vertical="center" wrapText="0"/>
    </xf>
    <xf borderId="0" fillId="4" fontId="37" numFmtId="0" xfId="0" applyAlignment="1" applyFont="1">
      <alignment horizontal="left" readingOrder="0"/>
    </xf>
    <xf borderId="0" fillId="4" fontId="21" numFmtId="0" xfId="0" applyAlignment="1" applyFont="1">
      <alignment readingOrder="0"/>
    </xf>
    <xf borderId="0" fillId="4" fontId="38" numFmtId="0" xfId="0" applyAlignment="1" applyFont="1">
      <alignment horizontal="left" readingOrder="0"/>
    </xf>
    <xf borderId="0" fillId="4" fontId="39" numFmtId="0" xfId="0" applyAlignment="1" applyFont="1">
      <alignment horizontal="left" readingOrder="0"/>
    </xf>
    <xf borderId="0" fillId="4" fontId="40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4" fontId="41" numFmtId="0" xfId="0" applyAlignment="1" applyFont="1">
      <alignment horizontal="left" readingOrder="0"/>
    </xf>
    <xf borderId="0" fillId="0" fontId="9" numFmtId="164" xfId="0" applyAlignment="1" applyFont="1" applyNumberFormat="1">
      <alignment horizontal="left"/>
    </xf>
    <xf borderId="0" fillId="0" fontId="9" numFmtId="0" xfId="0" applyAlignment="1" applyFont="1">
      <alignment readingOrder="0"/>
    </xf>
    <xf borderId="0" fillId="0" fontId="42" numFmtId="0" xfId="0" applyAlignment="1" applyFont="1">
      <alignment horizontal="left" readingOrder="0"/>
    </xf>
    <xf borderId="2" fillId="4" fontId="43" numFmtId="0" xfId="0" applyAlignment="1" applyBorder="1" applyFont="1">
      <alignment readingOrder="0"/>
    </xf>
    <xf borderId="5" fillId="0" fontId="9" numFmtId="164" xfId="0" applyAlignment="1" applyBorder="1" applyFont="1" applyNumberFormat="1">
      <alignment horizontal="left" readingOrder="0"/>
    </xf>
    <xf borderId="2" fillId="0" fontId="9" numFmtId="0" xfId="0" applyAlignment="1" applyBorder="1" applyFont="1">
      <alignment readingOrder="0"/>
    </xf>
    <xf borderId="0" fillId="4" fontId="39" numFmtId="0" xfId="0" applyAlignment="1" applyFont="1">
      <alignment horizontal="left" readingOrder="0"/>
    </xf>
    <xf borderId="2" fillId="0" fontId="9" numFmtId="164" xfId="0" applyAlignment="1" applyBorder="1" applyFont="1" applyNumberFormat="1">
      <alignment horizontal="left" readingOrder="0"/>
    </xf>
    <xf borderId="2" fillId="4" fontId="43" numFmtId="0" xfId="0" applyAlignment="1" applyBorder="1" applyFont="1">
      <alignment readingOrder="0" shrinkToFit="0" wrapText="0"/>
    </xf>
    <xf borderId="2" fillId="4" fontId="12" numFmtId="0" xfId="0" applyAlignment="1" applyBorder="1" applyFont="1">
      <alignment horizontal="left" readingOrder="0" shrinkToFit="0" wrapText="0"/>
    </xf>
    <xf borderId="1" fillId="0" fontId="4" numFmtId="171" xfId="0" applyAlignment="1" applyBorder="1" applyFont="1" applyNumberFormat="1">
      <alignment horizontal="left" readingOrder="0" vertical="center"/>
    </xf>
    <xf borderId="0" fillId="4" fontId="34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9" numFmtId="164" xfId="0" applyAlignment="1" applyFont="1" applyNumberFormat="1">
      <alignment horizontal="left" readingOrder="0"/>
    </xf>
    <xf borderId="0" fillId="4" fontId="23" numFmtId="0" xfId="0" applyAlignment="1" applyFont="1">
      <alignment horizontal="left" readingOrder="0"/>
    </xf>
    <xf borderId="0" fillId="4" fontId="30" numFmtId="0" xfId="0" applyAlignment="1" applyFont="1">
      <alignment horizontal="center" readingOrder="0"/>
    </xf>
    <xf borderId="0" fillId="4" fontId="35" numFmtId="0" xfId="0" applyAlignment="1" applyFont="1">
      <alignment horizontal="center" readingOrder="0"/>
    </xf>
    <xf borderId="0" fillId="4" fontId="22" numFmtId="0" xfId="0" applyAlignment="1" applyFont="1">
      <alignment horizontal="center" readingOrder="0"/>
    </xf>
    <xf borderId="0" fillId="4" fontId="44" numFmtId="0" xfId="0" applyAlignment="1" applyFont="1">
      <alignment horizontal="center" readingOrder="0"/>
    </xf>
    <xf borderId="0" fillId="0" fontId="4" numFmtId="166" xfId="0" applyAlignment="1" applyFont="1" applyNumberFormat="1">
      <alignment horizontal="left" readingOrder="0"/>
    </xf>
    <xf borderId="1" fillId="0" fontId="4" numFmtId="172" xfId="0" applyAlignment="1" applyBorder="1" applyFont="1" applyNumberFormat="1">
      <alignment horizontal="left" readingOrder="0" vertical="center"/>
    </xf>
    <xf borderId="0" fillId="4" fontId="23" numFmtId="172" xfId="0" applyAlignment="1" applyFont="1" applyNumberFormat="1">
      <alignment horizontal="left" readingOrder="0"/>
    </xf>
    <xf borderId="1" fillId="0" fontId="4" numFmtId="173" xfId="0" applyAlignment="1" applyBorder="1" applyFont="1" applyNumberFormat="1">
      <alignment horizontal="left" readingOrder="0" vertical="center"/>
    </xf>
    <xf borderId="0" fillId="0" fontId="9" numFmtId="0" xfId="0" applyAlignment="1" applyFont="1">
      <alignment horizontal="left"/>
    </xf>
    <xf borderId="0" fillId="4" fontId="27" numFmtId="0" xfId="0" applyAlignment="1" applyFont="1">
      <alignment horizontal="center" readingOrder="0"/>
    </xf>
    <xf borderId="0" fillId="4" fontId="45" numFmtId="0" xfId="0" applyAlignment="1" applyFont="1">
      <alignment readingOrder="0"/>
    </xf>
    <xf borderId="0" fillId="4" fontId="22" numFmtId="166" xfId="0" applyAlignment="1" applyFont="1" applyNumberFormat="1">
      <alignment horizontal="center" readingOrder="0"/>
    </xf>
    <xf borderId="0" fillId="4" fontId="46" numFmtId="0" xfId="0" applyAlignment="1" applyFont="1">
      <alignment readingOrder="0"/>
    </xf>
    <xf borderId="0" fillId="4" fontId="22" numFmtId="166" xfId="0" applyAlignment="1" applyFont="1" applyNumberFormat="1">
      <alignment readingOrder="0"/>
    </xf>
    <xf borderId="0" fillId="4" fontId="47" numFmtId="0" xfId="0" applyAlignment="1" applyFont="1">
      <alignment horizontal="center" readingOrder="0"/>
    </xf>
    <xf borderId="6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left" readingOrder="0" vertical="center"/>
    </xf>
    <xf borderId="0" fillId="4" fontId="27" numFmtId="166" xfId="0" applyAlignment="1" applyFont="1" applyNumberFormat="1">
      <alignment horizontal="left" readingOrder="0"/>
    </xf>
    <xf borderId="2" fillId="4" fontId="30" numFmtId="0" xfId="0" applyAlignment="1" applyBorder="1" applyFont="1">
      <alignment horizontal="center" readingOrder="0"/>
    </xf>
    <xf borderId="2" fillId="4" fontId="35" numFmtId="0" xfId="0" applyAlignment="1" applyBorder="1" applyFont="1">
      <alignment horizontal="center" readingOrder="0"/>
    </xf>
    <xf borderId="2" fillId="4" fontId="22" numFmtId="0" xfId="0" applyAlignment="1" applyBorder="1" applyFont="1">
      <alignment horizontal="center" readingOrder="0"/>
    </xf>
    <xf borderId="2" fillId="4" fontId="29" numFmtId="0" xfId="0" applyAlignment="1" applyBorder="1" applyFont="1">
      <alignment horizontal="center" readingOrder="0"/>
    </xf>
    <xf borderId="0" fillId="4" fontId="22" numFmtId="166" xfId="0" applyAlignment="1" applyFont="1" applyNumberFormat="1">
      <alignment horizontal="left" readingOrder="0"/>
    </xf>
    <xf borderId="0" fillId="0" fontId="9" numFmtId="166" xfId="0" applyAlignment="1" applyFont="1" applyNumberFormat="1">
      <alignment horizontal="left" readingOrder="0"/>
    </xf>
    <xf borderId="0" fillId="4" fontId="37" numFmtId="0" xfId="0" applyAlignment="1" applyFont="1">
      <alignment horizontal="center" readingOrder="0"/>
    </xf>
    <xf borderId="0" fillId="4" fontId="37" numFmtId="166" xfId="0" applyAlignment="1" applyFont="1" applyNumberFormat="1">
      <alignment horizontal="center" readingOrder="0"/>
    </xf>
    <xf borderId="0" fillId="4" fontId="27" numFmtId="166" xfId="0" applyAlignment="1" applyFont="1" applyNumberFormat="1">
      <alignment readingOrder="0"/>
    </xf>
    <xf borderId="0" fillId="0" fontId="27" numFmtId="0" xfId="0" applyAlignment="1" applyFont="1">
      <alignment readingOrder="0" shrinkToFit="0" wrapText="0"/>
    </xf>
    <xf borderId="0" fillId="0" fontId="33" numFmtId="174" xfId="0" applyAlignment="1" applyFont="1" applyNumberFormat="1">
      <alignment readingOrder="0"/>
    </xf>
    <xf borderId="0" fillId="4" fontId="35" numFmtId="166" xfId="0" applyAlignment="1" applyFont="1" applyNumberFormat="1">
      <alignment horizontal="center" readingOrder="0"/>
    </xf>
    <xf borderId="0" fillId="0" fontId="33" numFmtId="174" xfId="0" applyAlignment="1" applyFont="1" applyNumberFormat="1">
      <alignment horizontal="left" readingOrder="0"/>
    </xf>
    <xf borderId="0" fillId="4" fontId="48" numFmtId="0" xfId="0" applyAlignment="1" applyFont="1">
      <alignment readingOrder="0"/>
    </xf>
    <xf borderId="0" fillId="0" fontId="49" numFmtId="166" xfId="0" applyAlignment="1" applyFont="1" applyNumberFormat="1">
      <alignment horizontal="left" readingOrder="0" shrinkToFit="0" wrapText="0"/>
    </xf>
    <xf borderId="0" fillId="0" fontId="49" numFmtId="0" xfId="0" applyAlignment="1" applyFont="1">
      <alignment readingOrder="0" shrinkToFit="0" wrapText="0"/>
    </xf>
    <xf borderId="1" fillId="0" fontId="4" numFmtId="175" xfId="0" applyAlignment="1" applyBorder="1" applyFont="1" applyNumberFormat="1">
      <alignment horizontal="left" readingOrder="0" vertical="center"/>
    </xf>
    <xf borderId="0" fillId="4" fontId="35" numFmtId="166" xfId="0" applyAlignment="1" applyFont="1" applyNumberFormat="1">
      <alignment horizontal="left" readingOrder="0"/>
    </xf>
    <xf borderId="0" fillId="0" fontId="4" numFmtId="172" xfId="0" applyAlignment="1" applyFont="1" applyNumberFormat="1">
      <alignment horizontal="left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723900</xdr:colOff>
      <xdr:row>30</xdr:row>
      <xdr:rowOff>219075</xdr:rowOff>
    </xdr:from>
    <xdr:ext cx="4610100" cy="20193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95250</xdr:rowOff>
    </xdr:from>
    <xdr:ext cx="1371600" cy="1685925"/>
    <xdr:pic>
      <xdr:nvPicPr>
        <xdr:cNvPr id="0" name="image2.jp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6" displayName="Table1" name="Table1" id="1">
  <tableColumns count="9">
    <tableColumn name="AGUSTUS" id="1"/>
    <tableColumn name="TANGGAL" id="2"/>
    <tableColumn name="NO" id="3"/>
    <tableColumn name="TGL" id="4"/>
    <tableColumn name="BLN" id="5"/>
    <tableColumn name="KET" id="6"/>
    <tableColumn name="THN" id="7"/>
    <tableColumn name="JUMLAH KARTU/PCS" id="8"/>
    <tableColumn name="JUMLAH KARTU/PCS 2" id="9"/>
  </tableColumns>
  <tableStyleInfo name="Sheet1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ragunanzoo.jakrta.go.i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38"/>
    <col customWidth="1" min="3" max="3" width="49.38"/>
    <col customWidth="1" min="4" max="4" width="68.75"/>
    <col customWidth="1" min="5" max="5" width="54.5"/>
    <col customWidth="1" min="6" max="6" width="47.38"/>
    <col customWidth="1" min="7" max="7" width="24.0"/>
    <col customWidth="1" min="8" max="8" width="16.25"/>
  </cols>
  <sheetData>
    <row r="1" ht="48.0" customHeight="1">
      <c r="A1" s="11" t="s">
        <v>0</v>
      </c>
      <c r="B1" s="13" t="s">
        <v>1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5">
        <v>226.0</v>
      </c>
    </row>
    <row r="2">
      <c r="A2" s="19">
        <v>1.0</v>
      </c>
      <c r="B2" s="8">
        <v>467.0</v>
      </c>
      <c r="C2" s="8" t="s">
        <v>26</v>
      </c>
      <c r="D2" s="8" t="s">
        <v>27</v>
      </c>
      <c r="E2" s="21">
        <v>45913.0</v>
      </c>
      <c r="F2" s="8" t="s">
        <v>29</v>
      </c>
      <c r="G2" s="12" t="s">
        <v>31</v>
      </c>
      <c r="H2" s="18" t="s">
        <v>15</v>
      </c>
    </row>
    <row r="3">
      <c r="A3" s="19">
        <v>2.0</v>
      </c>
      <c r="B3" s="8">
        <v>468.0</v>
      </c>
      <c r="C3" s="8" t="s">
        <v>37</v>
      </c>
      <c r="D3" s="8" t="s">
        <v>38</v>
      </c>
      <c r="E3" s="21">
        <v>45916.0</v>
      </c>
      <c r="F3" s="8" t="s">
        <v>40</v>
      </c>
      <c r="G3" s="12" t="s">
        <v>31</v>
      </c>
      <c r="H3" s="12"/>
    </row>
    <row r="4">
      <c r="A4" s="19">
        <v>3.0</v>
      </c>
      <c r="B4" s="8">
        <v>469.0</v>
      </c>
      <c r="C4" s="8" t="s">
        <v>41</v>
      </c>
      <c r="D4" s="8" t="s">
        <v>42</v>
      </c>
      <c r="E4" s="21">
        <v>45917.0</v>
      </c>
      <c r="F4" s="8" t="s">
        <v>43</v>
      </c>
      <c r="G4" s="12" t="s">
        <v>31</v>
      </c>
      <c r="H4" s="27" t="s">
        <v>39</v>
      </c>
    </row>
    <row r="5">
      <c r="A5" s="19">
        <v>4.0</v>
      </c>
      <c r="B5" s="8">
        <v>470.0</v>
      </c>
      <c r="C5" s="8" t="s">
        <v>45</v>
      </c>
      <c r="D5" s="8" t="s">
        <v>46</v>
      </c>
      <c r="E5" s="8" t="s">
        <v>47</v>
      </c>
      <c r="F5" s="47"/>
      <c r="G5" s="12" t="s">
        <v>31</v>
      </c>
      <c r="H5" s="30"/>
    </row>
    <row r="6">
      <c r="A6" s="19">
        <v>5.0</v>
      </c>
      <c r="B6" s="8">
        <v>471.0</v>
      </c>
      <c r="C6" s="8" t="s">
        <v>58</v>
      </c>
      <c r="D6" s="8" t="s">
        <v>59</v>
      </c>
      <c r="E6" s="21">
        <v>45921.0</v>
      </c>
      <c r="F6" s="8" t="s">
        <v>60</v>
      </c>
      <c r="G6" s="12" t="s">
        <v>31</v>
      </c>
      <c r="H6" s="30"/>
    </row>
    <row r="7">
      <c r="A7" s="19">
        <v>6.0</v>
      </c>
      <c r="B7" s="8">
        <v>472.0</v>
      </c>
      <c r="C7" s="8" t="s">
        <v>63</v>
      </c>
      <c r="D7" s="8" t="s">
        <v>64</v>
      </c>
      <c r="E7" s="50">
        <v>45917.0</v>
      </c>
      <c r="F7" s="8" t="s">
        <v>67</v>
      </c>
      <c r="G7" s="12" t="s">
        <v>31</v>
      </c>
      <c r="H7" s="30"/>
    </row>
    <row r="8">
      <c r="A8" s="19">
        <v>7.0</v>
      </c>
      <c r="B8" s="8">
        <v>473.0</v>
      </c>
      <c r="C8" s="8" t="s">
        <v>68</v>
      </c>
      <c r="D8" s="8" t="s">
        <v>69</v>
      </c>
      <c r="E8" s="50">
        <v>45920.0</v>
      </c>
      <c r="F8" s="8" t="s">
        <v>70</v>
      </c>
      <c r="G8" s="12" t="s">
        <v>33</v>
      </c>
      <c r="H8" s="30"/>
    </row>
    <row r="9">
      <c r="A9" s="19">
        <v>8.0</v>
      </c>
      <c r="B9" s="8">
        <v>474.0</v>
      </c>
      <c r="C9" s="8" t="s">
        <v>71</v>
      </c>
      <c r="D9" s="8" t="s">
        <v>72</v>
      </c>
      <c r="E9" s="50">
        <v>45927.0</v>
      </c>
      <c r="F9" s="8" t="s">
        <v>73</v>
      </c>
      <c r="G9" s="12" t="s">
        <v>33</v>
      </c>
      <c r="H9" s="30"/>
    </row>
    <row r="10">
      <c r="A10" s="19">
        <v>9.0</v>
      </c>
      <c r="B10" s="8">
        <v>475.0</v>
      </c>
      <c r="C10" s="8" t="s">
        <v>74</v>
      </c>
      <c r="D10" s="8" t="s">
        <v>76</v>
      </c>
      <c r="E10" s="50">
        <v>45920.0</v>
      </c>
      <c r="F10" s="8" t="s">
        <v>73</v>
      </c>
      <c r="G10" s="12" t="s">
        <v>33</v>
      </c>
      <c r="H10" s="30"/>
    </row>
    <row r="11">
      <c r="A11" s="19">
        <v>10.0</v>
      </c>
      <c r="B11" s="8">
        <v>476.0</v>
      </c>
      <c r="C11" s="53" t="s">
        <v>79</v>
      </c>
      <c r="D11" s="8" t="s">
        <v>84</v>
      </c>
      <c r="E11" s="8" t="s">
        <v>86</v>
      </c>
      <c r="F11" s="8" t="s">
        <v>87</v>
      </c>
      <c r="G11" s="12" t="s">
        <v>33</v>
      </c>
      <c r="H11" s="30"/>
    </row>
    <row r="12">
      <c r="A12" s="19">
        <v>11.0</v>
      </c>
      <c r="B12" s="8">
        <v>477.0</v>
      </c>
      <c r="C12" s="8" t="s">
        <v>90</v>
      </c>
      <c r="D12" s="8" t="s">
        <v>91</v>
      </c>
      <c r="E12" s="21">
        <v>45921.0</v>
      </c>
      <c r="F12" s="8" t="s">
        <v>93</v>
      </c>
      <c r="G12" s="12" t="s">
        <v>33</v>
      </c>
      <c r="H12" s="30"/>
    </row>
    <row r="13">
      <c r="A13" s="19">
        <v>12.0</v>
      </c>
      <c r="B13" s="8">
        <v>478.0</v>
      </c>
      <c r="C13" s="8" t="s">
        <v>94</v>
      </c>
      <c r="D13" s="8"/>
      <c r="E13" s="8" t="s">
        <v>95</v>
      </c>
      <c r="F13" s="47"/>
      <c r="G13" s="12" t="s">
        <v>33</v>
      </c>
      <c r="H13" s="56"/>
    </row>
    <row r="14">
      <c r="A14" s="19">
        <v>13.0</v>
      </c>
      <c r="B14" s="8">
        <v>479.0</v>
      </c>
      <c r="C14" s="8" t="s">
        <v>98</v>
      </c>
      <c r="D14" s="8" t="s">
        <v>99</v>
      </c>
      <c r="E14" s="59">
        <v>45920.0</v>
      </c>
      <c r="F14" s="8" t="s">
        <v>111</v>
      </c>
      <c r="G14" s="12" t="s">
        <v>31</v>
      </c>
      <c r="H14" s="30"/>
    </row>
    <row r="15">
      <c r="A15" s="19">
        <v>14.0</v>
      </c>
      <c r="B15" s="8">
        <v>480.0</v>
      </c>
      <c r="C15" s="60" t="s">
        <v>114</v>
      </c>
      <c r="D15" s="8" t="s">
        <v>119</v>
      </c>
      <c r="E15" s="59">
        <v>45921.0</v>
      </c>
      <c r="F15" s="8" t="s">
        <v>122</v>
      </c>
      <c r="G15" s="12" t="s">
        <v>31</v>
      </c>
      <c r="H15" s="30"/>
    </row>
    <row r="16">
      <c r="A16" s="19">
        <v>15.0</v>
      </c>
      <c r="B16" s="8">
        <v>481.0</v>
      </c>
      <c r="C16" s="8" t="s">
        <v>125</v>
      </c>
      <c r="D16" s="8" t="s">
        <v>127</v>
      </c>
      <c r="E16" s="59">
        <v>45922.0</v>
      </c>
      <c r="F16" s="8" t="s">
        <v>128</v>
      </c>
      <c r="G16" s="12" t="s">
        <v>31</v>
      </c>
      <c r="H16" s="30"/>
    </row>
    <row r="17">
      <c r="A17" s="19">
        <v>16.0</v>
      </c>
      <c r="B17" s="8">
        <v>482.0</v>
      </c>
      <c r="C17" s="8" t="s">
        <v>131</v>
      </c>
      <c r="D17" s="8" t="s">
        <v>132</v>
      </c>
      <c r="E17" s="59">
        <v>45926.0</v>
      </c>
      <c r="F17" s="8" t="s">
        <v>135</v>
      </c>
      <c r="G17" s="12" t="s">
        <v>31</v>
      </c>
      <c r="H17" s="30"/>
    </row>
    <row r="18">
      <c r="A18" s="19">
        <v>17.0</v>
      </c>
      <c r="B18" s="8">
        <v>483.0</v>
      </c>
      <c r="C18" s="8" t="s">
        <v>131</v>
      </c>
      <c r="D18" s="8" t="s">
        <v>137</v>
      </c>
      <c r="E18" s="59">
        <v>45927.0</v>
      </c>
      <c r="F18" s="8" t="s">
        <v>140</v>
      </c>
      <c r="G18" s="12" t="s">
        <v>31</v>
      </c>
      <c r="H18" s="30"/>
    </row>
    <row r="19">
      <c r="A19" s="19">
        <v>18.0</v>
      </c>
      <c r="B19" s="8"/>
      <c r="C19" s="8" t="s">
        <v>141</v>
      </c>
      <c r="D19" s="8" t="s">
        <v>142</v>
      </c>
      <c r="E19" s="8" t="s">
        <v>143</v>
      </c>
      <c r="F19" s="8" t="s">
        <v>112</v>
      </c>
      <c r="G19" s="12" t="s">
        <v>33</v>
      </c>
      <c r="H19" s="30"/>
    </row>
    <row r="20">
      <c r="A20" s="19">
        <v>19.0</v>
      </c>
      <c r="B20" s="8">
        <v>485.0</v>
      </c>
      <c r="C20" s="8" t="s">
        <v>145</v>
      </c>
      <c r="D20" s="8" t="s">
        <v>146</v>
      </c>
      <c r="E20" s="63">
        <v>45927.0</v>
      </c>
      <c r="F20" s="8" t="s">
        <v>149</v>
      </c>
      <c r="G20" s="12" t="s">
        <v>33</v>
      </c>
      <c r="H20" s="30"/>
    </row>
    <row r="21" ht="16.5" customHeight="1">
      <c r="A21" s="19">
        <v>20.0</v>
      </c>
      <c r="B21" s="8">
        <v>486.0</v>
      </c>
      <c r="C21" s="8" t="s">
        <v>152</v>
      </c>
      <c r="D21" s="8" t="s">
        <v>155</v>
      </c>
      <c r="E21" s="63">
        <v>45927.0</v>
      </c>
      <c r="F21" s="8" t="s">
        <v>156</v>
      </c>
      <c r="G21" s="12" t="s">
        <v>33</v>
      </c>
      <c r="H21" s="30"/>
    </row>
    <row r="22">
      <c r="A22" s="19">
        <v>21.0</v>
      </c>
      <c r="B22" s="8">
        <v>487.0</v>
      </c>
      <c r="C22" s="8" t="s">
        <v>158</v>
      </c>
      <c r="D22" s="8" t="s">
        <v>159</v>
      </c>
      <c r="E22" s="53" t="s">
        <v>160</v>
      </c>
      <c r="F22" s="8" t="s">
        <v>87</v>
      </c>
      <c r="G22" s="12" t="s">
        <v>33</v>
      </c>
      <c r="H22" s="30"/>
    </row>
    <row r="23">
      <c r="A23" s="19">
        <v>22.0</v>
      </c>
      <c r="B23" s="8">
        <v>488.0</v>
      </c>
      <c r="C23" s="60" t="s">
        <v>164</v>
      </c>
      <c r="D23" s="8" t="s">
        <v>165</v>
      </c>
      <c r="E23" s="59">
        <v>45928.0</v>
      </c>
      <c r="F23" s="8" t="s">
        <v>167</v>
      </c>
      <c r="G23" s="12" t="s">
        <v>33</v>
      </c>
      <c r="H23" s="30"/>
    </row>
    <row r="24">
      <c r="A24" s="19">
        <v>23.0</v>
      </c>
      <c r="B24" s="8">
        <v>489.0</v>
      </c>
      <c r="C24" s="8" t="s">
        <v>170</v>
      </c>
      <c r="D24" s="8" t="s">
        <v>171</v>
      </c>
      <c r="E24" s="59">
        <v>45928.0</v>
      </c>
      <c r="F24" s="8" t="s">
        <v>174</v>
      </c>
      <c r="G24" s="12" t="s">
        <v>31</v>
      </c>
      <c r="H24" s="30"/>
    </row>
    <row r="25">
      <c r="A25" s="19">
        <v>24.0</v>
      </c>
      <c r="B25" s="8">
        <v>490.0</v>
      </c>
      <c r="C25" s="8" t="s">
        <v>177</v>
      </c>
      <c r="D25" s="8" t="s">
        <v>179</v>
      </c>
      <c r="E25" s="59">
        <v>45928.0</v>
      </c>
      <c r="F25" s="8" t="s">
        <v>181</v>
      </c>
      <c r="G25" s="12" t="s">
        <v>31</v>
      </c>
      <c r="H25" s="30"/>
    </row>
    <row r="26">
      <c r="A26" s="19">
        <v>25.0</v>
      </c>
      <c r="B26" s="8">
        <v>491.0</v>
      </c>
      <c r="C26" s="8" t="s">
        <v>184</v>
      </c>
      <c r="D26" s="8" t="s">
        <v>186</v>
      </c>
      <c r="E26" s="59">
        <v>45928.0</v>
      </c>
      <c r="F26" s="8" t="s">
        <v>188</v>
      </c>
      <c r="G26" s="12" t="s">
        <v>31</v>
      </c>
      <c r="H26" s="30"/>
    </row>
    <row r="27">
      <c r="A27" s="19">
        <v>26.0</v>
      </c>
      <c r="B27" s="8">
        <v>492.0</v>
      </c>
      <c r="C27" s="8" t="s">
        <v>189</v>
      </c>
      <c r="D27" s="8" t="s">
        <v>190</v>
      </c>
      <c r="E27" s="59">
        <v>45930.0</v>
      </c>
      <c r="F27" s="8" t="s">
        <v>191</v>
      </c>
      <c r="G27" s="12" t="s">
        <v>31</v>
      </c>
      <c r="H27" s="30"/>
    </row>
    <row r="28">
      <c r="A28" s="19">
        <v>27.0</v>
      </c>
      <c r="B28" s="8">
        <v>493.0</v>
      </c>
      <c r="C28" s="8" t="s">
        <v>187</v>
      </c>
      <c r="D28" s="8" t="s">
        <v>195</v>
      </c>
      <c r="E28" s="8" t="s">
        <v>196</v>
      </c>
      <c r="F28" s="8" t="s">
        <v>13</v>
      </c>
      <c r="G28" s="12" t="s">
        <v>33</v>
      </c>
      <c r="H28" s="30"/>
    </row>
    <row r="29">
      <c r="A29" s="19">
        <v>28.0</v>
      </c>
      <c r="B29" s="8">
        <v>494.0</v>
      </c>
      <c r="C29" s="8" t="s">
        <v>201</v>
      </c>
      <c r="D29" s="8" t="s">
        <v>202</v>
      </c>
      <c r="E29" s="8" t="s">
        <v>203</v>
      </c>
      <c r="F29" s="8" t="s">
        <v>13</v>
      </c>
      <c r="G29" s="12" t="s">
        <v>33</v>
      </c>
      <c r="H29" s="30"/>
    </row>
    <row r="30">
      <c r="A30" s="19">
        <v>29.0</v>
      </c>
      <c r="B30" s="8">
        <v>495.0</v>
      </c>
      <c r="C30" s="8" t="s">
        <v>205</v>
      </c>
      <c r="D30" s="8" t="s">
        <v>206</v>
      </c>
      <c r="E30" s="8" t="s">
        <v>207</v>
      </c>
      <c r="F30" s="8" t="s">
        <v>208</v>
      </c>
      <c r="G30" s="12" t="s">
        <v>33</v>
      </c>
      <c r="H30" s="30"/>
    </row>
    <row r="31">
      <c r="A31" s="19">
        <v>30.0</v>
      </c>
      <c r="B31" s="8">
        <v>496.0</v>
      </c>
      <c r="C31" s="8" t="s">
        <v>211</v>
      </c>
      <c r="D31" s="8" t="s">
        <v>212</v>
      </c>
      <c r="E31" s="71" t="s">
        <v>213</v>
      </c>
      <c r="F31" s="8" t="s">
        <v>13</v>
      </c>
      <c r="G31" s="12" t="s">
        <v>33</v>
      </c>
      <c r="H31" s="30"/>
    </row>
    <row r="32" ht="17.25" customHeight="1">
      <c r="A32" s="19">
        <v>31.0</v>
      </c>
      <c r="B32" s="8">
        <v>497.0</v>
      </c>
      <c r="C32" s="8" t="s">
        <v>217</v>
      </c>
      <c r="D32" s="8" t="s">
        <v>219</v>
      </c>
      <c r="E32" s="53" t="s">
        <v>220</v>
      </c>
      <c r="F32" s="8" t="s">
        <v>13</v>
      </c>
      <c r="G32" s="12" t="s">
        <v>33</v>
      </c>
      <c r="H32" s="30"/>
    </row>
    <row r="33">
      <c r="A33" s="19">
        <v>32.0</v>
      </c>
      <c r="B33" s="8">
        <v>498.0</v>
      </c>
      <c r="C33" s="8" t="s">
        <v>225</v>
      </c>
      <c r="D33" s="8" t="s">
        <v>227</v>
      </c>
      <c r="E33" s="59">
        <v>45935.0</v>
      </c>
      <c r="F33" s="8" t="s">
        <v>228</v>
      </c>
      <c r="G33" s="12" t="s">
        <v>33</v>
      </c>
      <c r="H33" s="30"/>
    </row>
    <row r="34">
      <c r="A34" s="19">
        <v>33.0</v>
      </c>
      <c r="B34" s="8">
        <v>499.0</v>
      </c>
      <c r="C34" s="8" t="s">
        <v>230</v>
      </c>
      <c r="D34" s="8" t="s">
        <v>231</v>
      </c>
      <c r="E34" s="53" t="s">
        <v>232</v>
      </c>
      <c r="F34" s="8" t="s">
        <v>233</v>
      </c>
      <c r="G34" s="12" t="s">
        <v>33</v>
      </c>
      <c r="H34" s="30"/>
    </row>
    <row r="35">
      <c r="A35" s="19">
        <v>34.0</v>
      </c>
      <c r="B35" s="8">
        <v>500.0</v>
      </c>
      <c r="C35" s="8" t="s">
        <v>235</v>
      </c>
      <c r="D35" s="8" t="s">
        <v>236</v>
      </c>
      <c r="E35" s="53" t="s">
        <v>237</v>
      </c>
      <c r="F35" s="8" t="s">
        <v>233</v>
      </c>
      <c r="G35" s="12" t="s">
        <v>14</v>
      </c>
      <c r="H35" s="30"/>
    </row>
    <row r="36">
      <c r="A36" s="19">
        <v>35.0</v>
      </c>
      <c r="B36" s="8">
        <v>501.0</v>
      </c>
      <c r="C36" s="8" t="s">
        <v>241</v>
      </c>
      <c r="D36" s="8" t="s">
        <v>242</v>
      </c>
      <c r="E36" s="8" t="s">
        <v>243</v>
      </c>
      <c r="F36" s="8" t="s">
        <v>244</v>
      </c>
      <c r="G36" s="12" t="s">
        <v>14</v>
      </c>
      <c r="H36" s="30"/>
    </row>
    <row r="37">
      <c r="A37" s="19">
        <v>36.0</v>
      </c>
      <c r="B37" s="8">
        <v>502.0</v>
      </c>
      <c r="C37" s="8" t="s">
        <v>247</v>
      </c>
      <c r="D37" s="8" t="s">
        <v>248</v>
      </c>
      <c r="E37" s="59">
        <v>45934.0</v>
      </c>
      <c r="F37" s="8" t="s">
        <v>250</v>
      </c>
      <c r="G37" s="12" t="s">
        <v>33</v>
      </c>
      <c r="H37" s="30"/>
    </row>
    <row r="38">
      <c r="A38" s="19">
        <v>37.0</v>
      </c>
      <c r="B38" s="8">
        <v>503.0</v>
      </c>
      <c r="C38" s="8" t="s">
        <v>252</v>
      </c>
      <c r="D38" s="8" t="s">
        <v>253</v>
      </c>
      <c r="E38" s="59">
        <v>45935.0</v>
      </c>
      <c r="F38" s="8" t="s">
        <v>188</v>
      </c>
      <c r="G38" s="12" t="s">
        <v>31</v>
      </c>
      <c r="H38" s="30"/>
    </row>
    <row r="39">
      <c r="A39" s="19">
        <v>38.0</v>
      </c>
      <c r="B39" s="8">
        <v>504.0</v>
      </c>
      <c r="C39" s="60" t="s">
        <v>258</v>
      </c>
      <c r="D39" s="8" t="s">
        <v>259</v>
      </c>
      <c r="E39" s="59">
        <v>45942.0</v>
      </c>
      <c r="F39" s="8" t="s">
        <v>261</v>
      </c>
      <c r="G39" s="12" t="s">
        <v>31</v>
      </c>
      <c r="H39" s="30"/>
    </row>
    <row r="40">
      <c r="A40" s="19">
        <v>39.0</v>
      </c>
      <c r="B40" s="8">
        <v>505.0</v>
      </c>
      <c r="C40" s="8" t="s">
        <v>264</v>
      </c>
      <c r="D40" s="8" t="s">
        <v>265</v>
      </c>
      <c r="E40" s="77">
        <v>45935.0</v>
      </c>
      <c r="F40" s="8" t="s">
        <v>244</v>
      </c>
      <c r="G40" s="12" t="s">
        <v>14</v>
      </c>
      <c r="H40" s="30"/>
    </row>
    <row r="41">
      <c r="A41" s="19">
        <v>40.0</v>
      </c>
      <c r="B41" s="8">
        <v>506.0</v>
      </c>
      <c r="C41" s="8" t="s">
        <v>269</v>
      </c>
      <c r="D41" s="8" t="s">
        <v>270</v>
      </c>
      <c r="E41" s="77">
        <v>45937.0</v>
      </c>
      <c r="F41" s="8" t="s">
        <v>261</v>
      </c>
      <c r="G41" s="12" t="s">
        <v>31</v>
      </c>
      <c r="H41" s="30"/>
    </row>
    <row r="42">
      <c r="A42" s="19">
        <v>41.0</v>
      </c>
      <c r="B42" s="8">
        <v>507.0</v>
      </c>
      <c r="C42" s="8" t="s">
        <v>274</v>
      </c>
      <c r="D42" s="8" t="s">
        <v>275</v>
      </c>
      <c r="E42" s="59">
        <v>45938.0</v>
      </c>
      <c r="F42" s="8" t="s">
        <v>276</v>
      </c>
      <c r="G42" s="12" t="s">
        <v>31</v>
      </c>
      <c r="H42" s="30"/>
    </row>
    <row r="43">
      <c r="A43" s="19">
        <v>42.0</v>
      </c>
      <c r="B43" s="8">
        <v>508.0</v>
      </c>
      <c r="C43" s="8" t="s">
        <v>278</v>
      </c>
      <c r="D43" s="8" t="s">
        <v>66</v>
      </c>
      <c r="E43" s="8" t="s">
        <v>279</v>
      </c>
      <c r="F43" s="8" t="s">
        <v>244</v>
      </c>
      <c r="G43" s="12" t="s">
        <v>14</v>
      </c>
      <c r="H43" s="30"/>
    </row>
    <row r="44">
      <c r="A44" s="19">
        <v>43.0</v>
      </c>
      <c r="B44" s="8">
        <v>509.0</v>
      </c>
      <c r="C44" s="8" t="s">
        <v>281</v>
      </c>
      <c r="D44" s="8" t="s">
        <v>283</v>
      </c>
      <c r="E44" s="53" t="s">
        <v>285</v>
      </c>
      <c r="F44" s="8" t="s">
        <v>244</v>
      </c>
      <c r="G44" s="12" t="s">
        <v>14</v>
      </c>
      <c r="H44" s="30"/>
    </row>
    <row r="45">
      <c r="A45" s="19">
        <v>44.0</v>
      </c>
      <c r="B45" s="8">
        <v>510.0</v>
      </c>
      <c r="C45" s="8" t="s">
        <v>286</v>
      </c>
      <c r="D45" s="8" t="s">
        <v>287</v>
      </c>
      <c r="E45" s="59">
        <v>45939.0</v>
      </c>
      <c r="F45" s="8" t="s">
        <v>289</v>
      </c>
      <c r="G45" s="12" t="s">
        <v>31</v>
      </c>
      <c r="H45" s="30"/>
    </row>
    <row r="46">
      <c r="A46" s="19">
        <v>45.0</v>
      </c>
      <c r="B46" s="8">
        <v>511.0</v>
      </c>
      <c r="C46" s="8" t="s">
        <v>290</v>
      </c>
      <c r="D46" s="8" t="s">
        <v>291</v>
      </c>
      <c r="E46" s="59">
        <v>45939.0</v>
      </c>
      <c r="F46" s="8" t="s">
        <v>292</v>
      </c>
      <c r="G46" s="12" t="s">
        <v>31</v>
      </c>
      <c r="H46" s="30"/>
    </row>
    <row r="47">
      <c r="A47" s="19">
        <v>46.0</v>
      </c>
      <c r="B47" s="8">
        <v>512.0</v>
      </c>
      <c r="C47" s="8" t="s">
        <v>296</v>
      </c>
      <c r="D47" s="8" t="s">
        <v>297</v>
      </c>
      <c r="E47" s="59">
        <v>45941.0</v>
      </c>
      <c r="F47" s="8" t="s">
        <v>298</v>
      </c>
      <c r="G47" s="12" t="s">
        <v>33</v>
      </c>
      <c r="H47" s="30"/>
    </row>
    <row r="48">
      <c r="A48" s="19">
        <v>47.0</v>
      </c>
      <c r="B48" s="8">
        <v>513.0</v>
      </c>
      <c r="C48" s="8" t="s">
        <v>301</v>
      </c>
      <c r="D48" s="8" t="s">
        <v>303</v>
      </c>
      <c r="E48" s="59">
        <v>45948.0</v>
      </c>
      <c r="F48" s="8" t="s">
        <v>305</v>
      </c>
      <c r="G48" s="12" t="s">
        <v>33</v>
      </c>
      <c r="H48" s="30"/>
    </row>
    <row r="49">
      <c r="A49" s="19">
        <v>48.0</v>
      </c>
      <c r="B49" s="8">
        <v>514.0</v>
      </c>
      <c r="C49" s="53" t="s">
        <v>307</v>
      </c>
      <c r="D49" s="8" t="s">
        <v>309</v>
      </c>
      <c r="E49" s="53" t="s">
        <v>310</v>
      </c>
      <c r="F49" s="8" t="s">
        <v>244</v>
      </c>
      <c r="G49" s="12" t="s">
        <v>14</v>
      </c>
      <c r="H49" s="30"/>
    </row>
    <row r="50">
      <c r="A50" s="19">
        <v>49.0</v>
      </c>
      <c r="B50" s="8">
        <v>515.0</v>
      </c>
      <c r="C50" s="8" t="s">
        <v>312</v>
      </c>
      <c r="D50" s="8" t="s">
        <v>313</v>
      </c>
      <c r="E50" s="50"/>
      <c r="F50" s="8" t="s">
        <v>314</v>
      </c>
      <c r="G50" s="12" t="s">
        <v>31</v>
      </c>
      <c r="H50" s="30"/>
    </row>
    <row r="51" ht="15.0" customHeight="1">
      <c r="A51" s="19">
        <v>50.0</v>
      </c>
      <c r="B51" s="8">
        <v>516.0</v>
      </c>
      <c r="C51" s="85" t="s">
        <v>317</v>
      </c>
      <c r="D51" s="8" t="s">
        <v>319</v>
      </c>
      <c r="E51" s="86">
        <v>45942.0</v>
      </c>
      <c r="F51" s="8" t="s">
        <v>246</v>
      </c>
      <c r="G51" s="12" t="s">
        <v>31</v>
      </c>
      <c r="H51" s="30"/>
    </row>
    <row r="52">
      <c r="A52" s="19">
        <v>51.0</v>
      </c>
      <c r="B52" s="8">
        <v>517.0</v>
      </c>
      <c r="C52" s="60" t="s">
        <v>323</v>
      </c>
      <c r="D52" s="8" t="s">
        <v>324</v>
      </c>
      <c r="E52" s="86">
        <v>45941.0</v>
      </c>
      <c r="F52" s="8" t="s">
        <v>326</v>
      </c>
      <c r="G52" s="12" t="s">
        <v>31</v>
      </c>
      <c r="H52" s="30"/>
    </row>
    <row r="53">
      <c r="A53" s="19">
        <v>52.0</v>
      </c>
      <c r="B53" s="8">
        <v>518.0</v>
      </c>
      <c r="C53" s="8" t="s">
        <v>328</v>
      </c>
      <c r="D53" s="8" t="s">
        <v>329</v>
      </c>
      <c r="E53" s="8" t="s">
        <v>330</v>
      </c>
      <c r="F53" s="8" t="s">
        <v>332</v>
      </c>
      <c r="G53" s="12" t="s">
        <v>31</v>
      </c>
      <c r="H53" s="30"/>
    </row>
    <row r="54">
      <c r="A54" s="19">
        <v>53.0</v>
      </c>
      <c r="B54" s="8">
        <v>519.0</v>
      </c>
      <c r="C54" s="8" t="s">
        <v>334</v>
      </c>
      <c r="D54" s="8" t="s">
        <v>89</v>
      </c>
      <c r="E54" s="8" t="s">
        <v>335</v>
      </c>
      <c r="F54" s="8" t="s">
        <v>244</v>
      </c>
      <c r="G54" s="12" t="s">
        <v>14</v>
      </c>
      <c r="H54" s="30"/>
    </row>
    <row r="55">
      <c r="A55" s="19">
        <v>54.0</v>
      </c>
      <c r="B55" s="8">
        <v>520.0</v>
      </c>
      <c r="C55" s="8" t="s">
        <v>337</v>
      </c>
      <c r="D55" s="8" t="s">
        <v>338</v>
      </c>
      <c r="E55" s="59">
        <v>45955.0</v>
      </c>
      <c r="F55" s="8" t="s">
        <v>292</v>
      </c>
      <c r="G55" s="12" t="s">
        <v>31</v>
      </c>
      <c r="H55" s="30"/>
    </row>
    <row r="56">
      <c r="A56" s="19">
        <v>55.0</v>
      </c>
      <c r="B56" s="8">
        <v>521.0</v>
      </c>
      <c r="C56" s="8" t="s">
        <v>342</v>
      </c>
      <c r="D56" s="8" t="s">
        <v>343</v>
      </c>
      <c r="E56" s="59">
        <v>45942.0</v>
      </c>
      <c r="F56" s="8" t="s">
        <v>344</v>
      </c>
      <c r="G56" s="12" t="s">
        <v>31</v>
      </c>
      <c r="H56" s="30"/>
    </row>
    <row r="57">
      <c r="A57" s="19">
        <v>56.0</v>
      </c>
      <c r="B57" s="8">
        <v>522.0</v>
      </c>
      <c r="C57" s="8" t="s">
        <v>345</v>
      </c>
      <c r="D57" s="8" t="s">
        <v>346</v>
      </c>
      <c r="E57" s="59">
        <v>45942.0</v>
      </c>
      <c r="F57" s="8" t="s">
        <v>348</v>
      </c>
      <c r="G57" s="12" t="s">
        <v>31</v>
      </c>
      <c r="H57" s="30"/>
    </row>
    <row r="58">
      <c r="A58" s="19">
        <v>57.0</v>
      </c>
      <c r="B58" s="8">
        <v>523.0</v>
      </c>
      <c r="C58" s="8" t="s">
        <v>350</v>
      </c>
      <c r="D58" s="8" t="s">
        <v>352</v>
      </c>
      <c r="E58" s="59">
        <v>45943.0</v>
      </c>
      <c r="F58" s="8" t="s">
        <v>354</v>
      </c>
      <c r="G58" s="12" t="s">
        <v>31</v>
      </c>
      <c r="H58" s="30"/>
    </row>
    <row r="59">
      <c r="A59" s="19">
        <v>58.0</v>
      </c>
      <c r="B59" s="8">
        <v>524.0</v>
      </c>
      <c r="C59" s="8" t="s">
        <v>241</v>
      </c>
      <c r="D59" s="47"/>
      <c r="E59" s="8" t="s">
        <v>357</v>
      </c>
      <c r="F59" s="8" t="s">
        <v>233</v>
      </c>
      <c r="G59" s="12" t="s">
        <v>14</v>
      </c>
      <c r="H59" s="30"/>
    </row>
    <row r="60">
      <c r="A60" s="19">
        <v>59.0</v>
      </c>
      <c r="B60" s="8">
        <v>525.0</v>
      </c>
      <c r="C60" s="8" t="s">
        <v>359</v>
      </c>
      <c r="D60" s="8" t="s">
        <v>361</v>
      </c>
      <c r="E60" s="59">
        <v>45949.0</v>
      </c>
      <c r="F60" s="8" t="s">
        <v>363</v>
      </c>
      <c r="G60" s="12" t="s">
        <v>33</v>
      </c>
      <c r="H60" s="30"/>
    </row>
    <row r="61">
      <c r="A61" s="19">
        <v>60.0</v>
      </c>
      <c r="B61" s="8">
        <v>526.0</v>
      </c>
      <c r="C61" s="8" t="s">
        <v>337</v>
      </c>
      <c r="D61" s="8" t="s">
        <v>365</v>
      </c>
      <c r="E61" s="59">
        <v>45955.0</v>
      </c>
      <c r="F61" s="8" t="s">
        <v>366</v>
      </c>
      <c r="G61" s="12" t="s">
        <v>33</v>
      </c>
      <c r="H61" s="30"/>
    </row>
    <row r="62">
      <c r="A62" s="19">
        <v>61.0</v>
      </c>
      <c r="B62" s="8">
        <v>527.0</v>
      </c>
      <c r="C62" s="91" t="s">
        <v>369</v>
      </c>
      <c r="D62" s="8" t="s">
        <v>371</v>
      </c>
      <c r="E62" s="59">
        <v>45945.0</v>
      </c>
      <c r="F62" s="8" t="s">
        <v>366</v>
      </c>
      <c r="G62" s="12" t="s">
        <v>31</v>
      </c>
      <c r="H62" s="30"/>
    </row>
    <row r="63">
      <c r="A63" s="19">
        <v>62.0</v>
      </c>
      <c r="B63" s="8">
        <v>528.0</v>
      </c>
      <c r="C63" s="93" t="s">
        <v>374</v>
      </c>
      <c r="D63" s="8" t="s">
        <v>375</v>
      </c>
      <c r="E63" s="59">
        <v>45956.0</v>
      </c>
      <c r="F63" s="8" t="s">
        <v>376</v>
      </c>
      <c r="G63" s="12" t="s">
        <v>31</v>
      </c>
      <c r="H63" s="30"/>
    </row>
    <row r="64">
      <c r="A64" s="19">
        <v>63.0</v>
      </c>
      <c r="B64" s="8">
        <v>529.0</v>
      </c>
      <c r="C64" s="8" t="s">
        <v>79</v>
      </c>
      <c r="D64" s="8" t="s">
        <v>66</v>
      </c>
      <c r="E64" s="53" t="s">
        <v>377</v>
      </c>
      <c r="F64" s="8" t="s">
        <v>233</v>
      </c>
      <c r="G64" s="12" t="s">
        <v>33</v>
      </c>
      <c r="H64" s="30"/>
    </row>
    <row r="65">
      <c r="A65" s="19">
        <v>64.0</v>
      </c>
      <c r="B65" s="8">
        <v>530.0</v>
      </c>
      <c r="C65" s="8" t="s">
        <v>381</v>
      </c>
      <c r="D65" s="8" t="s">
        <v>382</v>
      </c>
      <c r="E65" s="59">
        <v>45948.0</v>
      </c>
      <c r="F65" s="8" t="s">
        <v>383</v>
      </c>
      <c r="G65" s="12" t="s">
        <v>33</v>
      </c>
      <c r="H65" s="30"/>
    </row>
    <row r="66">
      <c r="A66" s="19">
        <v>65.0</v>
      </c>
      <c r="B66" s="8">
        <v>531.0</v>
      </c>
      <c r="C66" s="8" t="s">
        <v>384</v>
      </c>
      <c r="D66" s="8" t="s">
        <v>195</v>
      </c>
      <c r="E66" s="59">
        <v>45948.0</v>
      </c>
      <c r="F66" s="8" t="s">
        <v>233</v>
      </c>
      <c r="G66" s="12" t="s">
        <v>14</v>
      </c>
      <c r="H66" s="30"/>
    </row>
    <row r="67">
      <c r="A67" s="19">
        <v>66.0</v>
      </c>
      <c r="B67" s="8">
        <v>532.0</v>
      </c>
      <c r="C67" s="8" t="s">
        <v>389</v>
      </c>
      <c r="D67" s="8" t="s">
        <v>390</v>
      </c>
      <c r="E67" s="59">
        <v>45948.0</v>
      </c>
      <c r="F67" s="8" t="s">
        <v>391</v>
      </c>
      <c r="G67" s="12" t="s">
        <v>33</v>
      </c>
      <c r="H67" s="30"/>
    </row>
    <row r="68">
      <c r="A68" s="19">
        <v>67.0</v>
      </c>
      <c r="B68" s="8">
        <v>533.0</v>
      </c>
      <c r="C68" s="60" t="s">
        <v>394</v>
      </c>
      <c r="D68" s="8" t="s">
        <v>395</v>
      </c>
      <c r="E68" s="59">
        <v>45949.0</v>
      </c>
      <c r="F68" s="8" t="s">
        <v>396</v>
      </c>
      <c r="G68" s="12" t="s">
        <v>31</v>
      </c>
      <c r="H68" s="30"/>
    </row>
    <row r="69">
      <c r="A69" s="19">
        <v>68.0</v>
      </c>
      <c r="B69" s="8">
        <v>534.0</v>
      </c>
      <c r="C69" s="60" t="s">
        <v>394</v>
      </c>
      <c r="D69" s="8" t="s">
        <v>397</v>
      </c>
      <c r="E69" s="59">
        <v>45949.0</v>
      </c>
      <c r="F69" s="8" t="s">
        <v>396</v>
      </c>
      <c r="G69" s="12" t="s">
        <v>31</v>
      </c>
      <c r="H69" s="30"/>
    </row>
    <row r="70">
      <c r="A70" s="19">
        <v>69.0</v>
      </c>
      <c r="B70" s="8">
        <v>535.0</v>
      </c>
      <c r="C70" s="8" t="s">
        <v>398</v>
      </c>
      <c r="D70" s="8" t="s">
        <v>401</v>
      </c>
      <c r="E70" s="59">
        <v>45949.0</v>
      </c>
      <c r="F70" s="8" t="s">
        <v>402</v>
      </c>
      <c r="G70" s="12" t="s">
        <v>31</v>
      </c>
      <c r="H70" s="30"/>
    </row>
    <row r="71">
      <c r="A71" s="19">
        <v>70.0</v>
      </c>
      <c r="B71" s="8">
        <v>536.0</v>
      </c>
      <c r="C71" s="8" t="s">
        <v>405</v>
      </c>
      <c r="D71" s="8" t="s">
        <v>406</v>
      </c>
      <c r="E71" s="59">
        <v>45951.0</v>
      </c>
      <c r="F71" s="8" t="s">
        <v>408</v>
      </c>
      <c r="G71" s="12" t="s">
        <v>31</v>
      </c>
      <c r="H71" s="30"/>
    </row>
    <row r="72">
      <c r="A72" s="19">
        <v>71.0</v>
      </c>
      <c r="B72" s="8">
        <v>537.0</v>
      </c>
      <c r="C72" s="8" t="s">
        <v>409</v>
      </c>
      <c r="D72" s="8" t="s">
        <v>411</v>
      </c>
      <c r="E72" s="59">
        <v>45952.0</v>
      </c>
      <c r="F72" s="8" t="s">
        <v>408</v>
      </c>
      <c r="G72" s="12" t="s">
        <v>31</v>
      </c>
      <c r="H72" s="30"/>
    </row>
    <row r="73" ht="18.0" customHeight="1">
      <c r="A73" s="19">
        <v>72.0</v>
      </c>
      <c r="B73" s="8">
        <v>538.0</v>
      </c>
      <c r="C73" s="8" t="s">
        <v>417</v>
      </c>
      <c r="D73" s="8" t="s">
        <v>418</v>
      </c>
      <c r="E73" s="59">
        <v>45956.0</v>
      </c>
      <c r="F73" s="8" t="s">
        <v>321</v>
      </c>
      <c r="G73" s="12" t="s">
        <v>33</v>
      </c>
      <c r="H73" s="30"/>
    </row>
    <row r="74">
      <c r="A74" s="19">
        <v>73.0</v>
      </c>
      <c r="B74" s="8">
        <v>539.0</v>
      </c>
      <c r="C74" s="8" t="s">
        <v>420</v>
      </c>
      <c r="D74" s="8" t="s">
        <v>421</v>
      </c>
      <c r="E74" s="59">
        <v>45951.0</v>
      </c>
      <c r="F74" s="8" t="s">
        <v>422</v>
      </c>
      <c r="G74" s="12" t="s">
        <v>31</v>
      </c>
      <c r="H74" s="30"/>
    </row>
    <row r="75">
      <c r="A75" s="19">
        <v>74.0</v>
      </c>
      <c r="B75" s="8">
        <v>540.0</v>
      </c>
      <c r="C75" s="8" t="s">
        <v>425</v>
      </c>
      <c r="D75" s="8" t="s">
        <v>426</v>
      </c>
      <c r="E75" s="59">
        <v>45952.0</v>
      </c>
      <c r="F75" s="8" t="s">
        <v>428</v>
      </c>
      <c r="G75" s="12" t="s">
        <v>31</v>
      </c>
      <c r="H75" s="30"/>
    </row>
    <row r="76">
      <c r="A76" s="19">
        <v>75.0</v>
      </c>
      <c r="B76" s="8">
        <v>541.0</v>
      </c>
      <c r="C76" s="8" t="s">
        <v>431</v>
      </c>
      <c r="D76" s="8" t="s">
        <v>432</v>
      </c>
      <c r="E76" s="59">
        <v>45955.0</v>
      </c>
      <c r="F76" s="8" t="s">
        <v>434</v>
      </c>
      <c r="G76" s="12" t="s">
        <v>33</v>
      </c>
      <c r="H76" s="30"/>
    </row>
    <row r="77">
      <c r="A77" s="19">
        <v>76.0</v>
      </c>
      <c r="B77" s="8">
        <v>542.0</v>
      </c>
      <c r="C77" s="60" t="s">
        <v>436</v>
      </c>
      <c r="D77" s="47"/>
      <c r="E77" s="59">
        <v>45953.0</v>
      </c>
      <c r="F77" s="8" t="s">
        <v>422</v>
      </c>
      <c r="G77" s="12" t="s">
        <v>31</v>
      </c>
      <c r="H77" s="30"/>
    </row>
    <row r="78">
      <c r="A78" s="19">
        <v>77.0</v>
      </c>
      <c r="B78" s="8">
        <v>543.0</v>
      </c>
      <c r="C78" s="8" t="s">
        <v>440</v>
      </c>
      <c r="D78" s="8" t="s">
        <v>443</v>
      </c>
      <c r="E78" s="59">
        <v>45955.0</v>
      </c>
      <c r="F78" s="8" t="s">
        <v>444</v>
      </c>
      <c r="G78" s="12" t="s">
        <v>33</v>
      </c>
      <c r="H78" s="30"/>
    </row>
    <row r="79">
      <c r="A79" s="19">
        <v>78.0</v>
      </c>
      <c r="B79" s="99">
        <v>544.0</v>
      </c>
      <c r="C79" s="8" t="s">
        <v>450</v>
      </c>
      <c r="D79" s="8" t="s">
        <v>451</v>
      </c>
      <c r="E79" s="59">
        <v>45955.0</v>
      </c>
      <c r="F79" s="8" t="s">
        <v>453</v>
      </c>
      <c r="G79" s="12" t="s">
        <v>33</v>
      </c>
      <c r="H79" s="30"/>
    </row>
    <row r="80">
      <c r="A80" s="19">
        <v>79.0</v>
      </c>
      <c r="B80" s="8">
        <v>545.0</v>
      </c>
      <c r="C80" s="8" t="s">
        <v>158</v>
      </c>
      <c r="D80" s="8" t="s">
        <v>66</v>
      </c>
      <c r="E80" s="59">
        <v>45955.0</v>
      </c>
      <c r="F80" s="8" t="s">
        <v>233</v>
      </c>
      <c r="G80" s="12" t="s">
        <v>33</v>
      </c>
      <c r="H80" s="30"/>
    </row>
    <row r="81">
      <c r="A81" s="19">
        <v>80.0</v>
      </c>
      <c r="B81" s="8">
        <v>546.0</v>
      </c>
      <c r="C81" s="8" t="s">
        <v>459</v>
      </c>
      <c r="D81" s="8" t="s">
        <v>460</v>
      </c>
      <c r="E81" s="59">
        <v>45955.0</v>
      </c>
      <c r="F81" s="8" t="s">
        <v>463</v>
      </c>
      <c r="G81" s="12" t="s">
        <v>31</v>
      </c>
      <c r="H81" s="30"/>
    </row>
    <row r="82">
      <c r="A82" s="19">
        <v>81.0</v>
      </c>
      <c r="B82" s="8">
        <v>547.0</v>
      </c>
      <c r="C82" s="8" t="s">
        <v>467</v>
      </c>
      <c r="D82" s="8" t="s">
        <v>468</v>
      </c>
      <c r="E82" s="59">
        <v>45955.0</v>
      </c>
      <c r="F82" s="8" t="s">
        <v>408</v>
      </c>
      <c r="G82" s="12" t="s">
        <v>31</v>
      </c>
      <c r="H82" s="30"/>
    </row>
    <row r="83">
      <c r="A83" s="19">
        <v>82.0</v>
      </c>
      <c r="B83" s="8">
        <v>548.0</v>
      </c>
      <c r="C83" s="8" t="s">
        <v>471</v>
      </c>
      <c r="D83" s="8" t="s">
        <v>472</v>
      </c>
      <c r="E83" s="59">
        <v>45962.0</v>
      </c>
      <c r="F83" s="8" t="s">
        <v>474</v>
      </c>
      <c r="G83" s="12" t="s">
        <v>33</v>
      </c>
      <c r="H83" s="30"/>
    </row>
    <row r="84">
      <c r="A84" s="19">
        <v>83.0</v>
      </c>
      <c r="B84" s="8">
        <v>549.0</v>
      </c>
      <c r="C84" s="8" t="s">
        <v>241</v>
      </c>
      <c r="D84" s="8" t="s">
        <v>477</v>
      </c>
      <c r="E84" s="71" t="s">
        <v>479</v>
      </c>
      <c r="F84" s="8" t="s">
        <v>233</v>
      </c>
      <c r="G84" s="12" t="s">
        <v>33</v>
      </c>
      <c r="H84" s="30"/>
    </row>
    <row r="85">
      <c r="A85" s="19">
        <v>84.0</v>
      </c>
      <c r="B85" s="8">
        <v>550.0</v>
      </c>
      <c r="C85" s="8" t="s">
        <v>482</v>
      </c>
      <c r="D85" s="8" t="s">
        <v>477</v>
      </c>
      <c r="E85" s="8" t="s">
        <v>484</v>
      </c>
      <c r="F85" s="8" t="s">
        <v>13</v>
      </c>
      <c r="G85" s="12" t="s">
        <v>33</v>
      </c>
      <c r="H85" s="30"/>
    </row>
    <row r="86">
      <c r="A86" s="19">
        <v>85.0</v>
      </c>
      <c r="B86" s="8">
        <v>551.0</v>
      </c>
      <c r="C86" s="8" t="s">
        <v>487</v>
      </c>
      <c r="D86" s="8" t="s">
        <v>489</v>
      </c>
      <c r="E86" s="59">
        <v>45963.0</v>
      </c>
      <c r="F86" s="8" t="s">
        <v>492</v>
      </c>
      <c r="G86" s="12" t="s">
        <v>33</v>
      </c>
      <c r="H86" s="12" t="s">
        <v>494</v>
      </c>
    </row>
    <row r="87">
      <c r="A87" s="19">
        <v>86.0</v>
      </c>
      <c r="B87" s="8">
        <v>552.0</v>
      </c>
      <c r="C87" s="8" t="s">
        <v>425</v>
      </c>
      <c r="D87" s="8" t="s">
        <v>495</v>
      </c>
      <c r="E87" s="59">
        <v>45966.0</v>
      </c>
      <c r="F87" s="8" t="s">
        <v>496</v>
      </c>
      <c r="G87" s="12" t="s">
        <v>33</v>
      </c>
      <c r="H87" s="30"/>
    </row>
    <row r="88">
      <c r="A88" s="19">
        <v>87.0</v>
      </c>
      <c r="B88" s="8">
        <v>553.0</v>
      </c>
      <c r="C88" s="8" t="s">
        <v>307</v>
      </c>
      <c r="D88" s="8" t="s">
        <v>499</v>
      </c>
      <c r="E88" s="53" t="s">
        <v>500</v>
      </c>
      <c r="F88" s="8" t="s">
        <v>501</v>
      </c>
      <c r="G88" s="12" t="s">
        <v>14</v>
      </c>
      <c r="H88" s="30"/>
    </row>
    <row r="89">
      <c r="A89" s="19">
        <v>88.0</v>
      </c>
      <c r="B89" s="8">
        <v>554.0</v>
      </c>
      <c r="C89" s="8" t="s">
        <v>505</v>
      </c>
      <c r="D89" s="8" t="s">
        <v>506</v>
      </c>
      <c r="E89" s="53" t="s">
        <v>507</v>
      </c>
      <c r="F89" s="8" t="s">
        <v>233</v>
      </c>
      <c r="G89" s="12" t="s">
        <v>14</v>
      </c>
      <c r="H89" s="30"/>
    </row>
    <row r="90">
      <c r="A90" s="19">
        <v>89.0</v>
      </c>
      <c r="B90" s="8">
        <v>555.0</v>
      </c>
      <c r="C90" s="8" t="s">
        <v>211</v>
      </c>
      <c r="D90" s="8" t="s">
        <v>510</v>
      </c>
      <c r="E90" s="8" t="s">
        <v>511</v>
      </c>
      <c r="F90" s="8" t="s">
        <v>233</v>
      </c>
      <c r="G90" s="12" t="s">
        <v>14</v>
      </c>
      <c r="H90" s="30"/>
    </row>
    <row r="91">
      <c r="A91" s="19">
        <v>90.0</v>
      </c>
      <c r="B91" s="8">
        <v>556.0</v>
      </c>
      <c r="C91" s="8" t="s">
        <v>514</v>
      </c>
      <c r="D91" s="8" t="s">
        <v>515</v>
      </c>
      <c r="E91" s="53" t="s">
        <v>516</v>
      </c>
      <c r="F91" s="8" t="s">
        <v>233</v>
      </c>
      <c r="G91" s="12" t="s">
        <v>33</v>
      </c>
      <c r="H91" s="30"/>
    </row>
    <row r="92">
      <c r="A92" s="19">
        <v>91.0</v>
      </c>
      <c r="B92" s="8">
        <v>557.0</v>
      </c>
      <c r="C92" s="53" t="s">
        <v>187</v>
      </c>
      <c r="D92" s="8" t="s">
        <v>515</v>
      </c>
      <c r="E92" s="53" t="s">
        <v>523</v>
      </c>
      <c r="F92" s="8" t="s">
        <v>233</v>
      </c>
      <c r="G92" s="12" t="s">
        <v>14</v>
      </c>
      <c r="H92" s="30"/>
    </row>
    <row r="93">
      <c r="A93" s="19">
        <v>92.0</v>
      </c>
      <c r="B93" s="8">
        <v>558.0</v>
      </c>
      <c r="C93" s="8" t="s">
        <v>528</v>
      </c>
      <c r="D93" s="8" t="s">
        <v>530</v>
      </c>
      <c r="E93" s="8" t="s">
        <v>533</v>
      </c>
      <c r="F93" s="8" t="s">
        <v>233</v>
      </c>
      <c r="G93" s="12" t="s">
        <v>14</v>
      </c>
      <c r="H93" s="30"/>
    </row>
    <row r="94">
      <c r="A94" s="19">
        <v>93.0</v>
      </c>
      <c r="B94" s="8">
        <v>559.0</v>
      </c>
      <c r="C94" s="8" t="s">
        <v>537</v>
      </c>
      <c r="D94" s="8" t="s">
        <v>538</v>
      </c>
      <c r="E94" s="8" t="s">
        <v>540</v>
      </c>
      <c r="F94" s="8" t="s">
        <v>233</v>
      </c>
      <c r="G94" s="12" t="s">
        <v>14</v>
      </c>
      <c r="H94" s="30"/>
    </row>
    <row r="95">
      <c r="A95" s="19">
        <v>94.0</v>
      </c>
      <c r="B95" s="8">
        <v>560.0</v>
      </c>
      <c r="C95" s="8" t="s">
        <v>544</v>
      </c>
      <c r="D95" s="8" t="s">
        <v>546</v>
      </c>
      <c r="E95" s="8" t="s">
        <v>547</v>
      </c>
      <c r="F95" s="8" t="s">
        <v>233</v>
      </c>
      <c r="G95" s="12" t="s">
        <v>14</v>
      </c>
      <c r="H95" s="30"/>
    </row>
    <row r="96">
      <c r="A96" s="19">
        <v>95.0</v>
      </c>
      <c r="B96" s="8">
        <v>561.0</v>
      </c>
      <c r="C96" s="8" t="s">
        <v>552</v>
      </c>
      <c r="D96" s="8" t="s">
        <v>555</v>
      </c>
      <c r="E96" s="59">
        <v>45973.0</v>
      </c>
      <c r="F96" s="8" t="s">
        <v>408</v>
      </c>
      <c r="G96" s="12" t="s">
        <v>31</v>
      </c>
      <c r="H96" s="30"/>
    </row>
    <row r="97">
      <c r="A97" s="19">
        <v>96.0</v>
      </c>
      <c r="B97" s="8">
        <v>562.0</v>
      </c>
      <c r="C97" s="8" t="s">
        <v>552</v>
      </c>
      <c r="D97" s="8" t="s">
        <v>559</v>
      </c>
      <c r="E97" s="111">
        <v>45973.0</v>
      </c>
      <c r="F97" s="8" t="s">
        <v>572</v>
      </c>
      <c r="G97" s="12" t="s">
        <v>31</v>
      </c>
      <c r="H97" s="30"/>
    </row>
    <row r="98">
      <c r="A98" s="19">
        <v>97.0</v>
      </c>
      <c r="B98" s="8">
        <v>563.0</v>
      </c>
      <c r="C98" s="8" t="s">
        <v>577</v>
      </c>
      <c r="D98" s="8" t="s">
        <v>578</v>
      </c>
      <c r="E98" s="60" t="s">
        <v>580</v>
      </c>
      <c r="F98" s="8" t="s">
        <v>233</v>
      </c>
      <c r="G98" s="12" t="s">
        <v>14</v>
      </c>
      <c r="H98" s="30"/>
    </row>
    <row r="99">
      <c r="A99" s="19">
        <v>98.0</v>
      </c>
      <c r="B99" s="8">
        <v>564.0</v>
      </c>
      <c r="C99" s="53" t="s">
        <v>584</v>
      </c>
      <c r="D99" s="8" t="s">
        <v>585</v>
      </c>
      <c r="E99" s="8" t="s">
        <v>540</v>
      </c>
      <c r="F99" s="8" t="s">
        <v>233</v>
      </c>
      <c r="G99" s="12" t="s">
        <v>14</v>
      </c>
      <c r="H99" s="30"/>
    </row>
    <row r="100">
      <c r="A100" s="19">
        <v>99.0</v>
      </c>
      <c r="B100" s="8">
        <v>565.0</v>
      </c>
      <c r="C100" s="53" t="s">
        <v>590</v>
      </c>
      <c r="D100" s="8" t="s">
        <v>593</v>
      </c>
      <c r="E100" s="59">
        <v>45962.0</v>
      </c>
      <c r="F100" s="8" t="s">
        <v>595</v>
      </c>
      <c r="G100" s="12" t="s">
        <v>33</v>
      </c>
      <c r="H100" s="30"/>
    </row>
    <row r="101">
      <c r="A101" s="19">
        <v>100.0</v>
      </c>
      <c r="B101" s="8">
        <v>567.0</v>
      </c>
      <c r="C101" s="8" t="s">
        <v>601</v>
      </c>
      <c r="D101" s="8" t="s">
        <v>603</v>
      </c>
      <c r="E101" s="59">
        <v>45963.0</v>
      </c>
      <c r="F101" s="8" t="s">
        <v>233</v>
      </c>
      <c r="G101" s="12" t="s">
        <v>14</v>
      </c>
      <c r="H101" s="30"/>
    </row>
    <row r="102">
      <c r="A102" s="19">
        <v>101.0</v>
      </c>
      <c r="B102" s="8">
        <v>568.0</v>
      </c>
      <c r="C102" s="8" t="s">
        <v>606</v>
      </c>
      <c r="D102" s="8" t="s">
        <v>608</v>
      </c>
      <c r="E102" s="8" t="s">
        <v>609</v>
      </c>
      <c r="F102" s="8" t="s">
        <v>610</v>
      </c>
      <c r="G102" s="12" t="s">
        <v>14</v>
      </c>
      <c r="H102" s="30"/>
    </row>
    <row r="103">
      <c r="A103" s="19">
        <v>102.0</v>
      </c>
      <c r="B103" s="8">
        <v>569.0</v>
      </c>
      <c r="C103" s="8" t="s">
        <v>612</v>
      </c>
      <c r="D103" s="8" t="s">
        <v>613</v>
      </c>
      <c r="E103" s="59">
        <v>45963.0</v>
      </c>
      <c r="F103" s="8" t="s">
        <v>595</v>
      </c>
      <c r="G103" s="12" t="s">
        <v>33</v>
      </c>
      <c r="H103" s="30"/>
    </row>
    <row r="104">
      <c r="A104" s="19">
        <v>103.0</v>
      </c>
      <c r="B104" s="8">
        <v>570.0</v>
      </c>
      <c r="C104" s="8" t="s">
        <v>614</v>
      </c>
      <c r="D104" s="8" t="s">
        <v>615</v>
      </c>
      <c r="E104" s="59">
        <v>45963.0</v>
      </c>
      <c r="F104" s="8" t="s">
        <v>616</v>
      </c>
      <c r="G104" s="12" t="s">
        <v>31</v>
      </c>
      <c r="H104" s="30"/>
    </row>
    <row r="105">
      <c r="A105" s="19">
        <v>104.0</v>
      </c>
      <c r="B105" s="8">
        <v>571.0</v>
      </c>
      <c r="C105" s="8" t="s">
        <v>617</v>
      </c>
      <c r="D105" s="8" t="s">
        <v>619</v>
      </c>
      <c r="E105" s="59">
        <v>45970.0</v>
      </c>
      <c r="F105" s="8" t="s">
        <v>620</v>
      </c>
      <c r="G105" s="12" t="s">
        <v>33</v>
      </c>
      <c r="H105" s="30"/>
    </row>
    <row r="106">
      <c r="A106" s="19">
        <v>105.0</v>
      </c>
      <c r="B106" s="8">
        <v>572.0</v>
      </c>
      <c r="C106" s="8" t="s">
        <v>621</v>
      </c>
      <c r="D106" s="8" t="s">
        <v>622</v>
      </c>
      <c r="E106" s="59">
        <v>45965.0</v>
      </c>
      <c r="F106" s="8" t="s">
        <v>623</v>
      </c>
      <c r="G106" s="12" t="s">
        <v>31</v>
      </c>
      <c r="H106" s="30"/>
    </row>
    <row r="107" ht="18.75" customHeight="1">
      <c r="A107" s="19">
        <v>106.0</v>
      </c>
      <c r="B107" s="8">
        <v>573.0</v>
      </c>
      <c r="C107" s="8" t="s">
        <v>625</v>
      </c>
      <c r="D107" s="8" t="s">
        <v>626</v>
      </c>
      <c r="E107" s="59">
        <v>45969.0</v>
      </c>
      <c r="F107" s="8" t="s">
        <v>627</v>
      </c>
      <c r="G107" s="12" t="s">
        <v>33</v>
      </c>
      <c r="H107" s="30"/>
    </row>
    <row r="108">
      <c r="A108" s="19">
        <v>107.0</v>
      </c>
      <c r="B108" s="8">
        <v>574.0</v>
      </c>
      <c r="C108" s="8" t="s">
        <v>630</v>
      </c>
      <c r="D108" s="8" t="s">
        <v>631</v>
      </c>
      <c r="E108" s="59">
        <v>45970.0</v>
      </c>
      <c r="F108" s="8" t="s">
        <v>610</v>
      </c>
      <c r="G108" s="12" t="s">
        <v>14</v>
      </c>
      <c r="H108" s="30"/>
    </row>
    <row r="109">
      <c r="A109" s="19">
        <v>108.0</v>
      </c>
      <c r="B109" s="8">
        <v>575.0</v>
      </c>
      <c r="C109" s="53" t="s">
        <v>634</v>
      </c>
      <c r="D109" s="8" t="s">
        <v>635</v>
      </c>
      <c r="E109" s="53" t="s">
        <v>636</v>
      </c>
      <c r="F109" s="8" t="s">
        <v>610</v>
      </c>
      <c r="G109" s="12" t="s">
        <v>14</v>
      </c>
      <c r="H109" s="30"/>
    </row>
    <row r="110">
      <c r="A110" s="19">
        <v>109.0</v>
      </c>
      <c r="B110" s="8">
        <v>576.0</v>
      </c>
      <c r="C110" s="53" t="s">
        <v>639</v>
      </c>
      <c r="D110" s="8" t="s">
        <v>640</v>
      </c>
      <c r="E110" s="59">
        <v>45970.0</v>
      </c>
      <c r="F110" s="8" t="s">
        <v>641</v>
      </c>
      <c r="G110" s="12" t="s">
        <v>33</v>
      </c>
      <c r="H110" s="30"/>
    </row>
    <row r="111">
      <c r="A111" s="19">
        <v>110.0</v>
      </c>
      <c r="B111" s="8">
        <v>577.0</v>
      </c>
      <c r="C111" s="8" t="s">
        <v>645</v>
      </c>
      <c r="D111" s="8" t="s">
        <v>646</v>
      </c>
      <c r="E111" s="59">
        <v>45973.0</v>
      </c>
      <c r="F111" s="8" t="s">
        <v>641</v>
      </c>
      <c r="G111" s="12" t="s">
        <v>31</v>
      </c>
      <c r="H111" s="30"/>
    </row>
    <row r="112">
      <c r="A112" s="19">
        <v>111.0</v>
      </c>
      <c r="B112" s="8">
        <v>578.0</v>
      </c>
      <c r="C112" s="8" t="s">
        <v>649</v>
      </c>
      <c r="D112" s="8" t="s">
        <v>650</v>
      </c>
      <c r="E112" s="59">
        <v>45975.0</v>
      </c>
      <c r="F112" s="8" t="s">
        <v>641</v>
      </c>
      <c r="G112" s="12"/>
      <c r="H112" s="30"/>
    </row>
    <row r="113">
      <c r="A113" s="19">
        <v>112.0</v>
      </c>
      <c r="B113" s="8">
        <v>579.0</v>
      </c>
      <c r="C113" s="8" t="s">
        <v>652</v>
      </c>
      <c r="D113" s="8" t="s">
        <v>653</v>
      </c>
      <c r="E113" s="8" t="s">
        <v>654</v>
      </c>
      <c r="F113" s="8" t="s">
        <v>13</v>
      </c>
      <c r="G113" s="12" t="s">
        <v>14</v>
      </c>
      <c r="H113" s="30"/>
    </row>
    <row r="114">
      <c r="A114" s="19">
        <v>113.0</v>
      </c>
      <c r="B114" s="8">
        <v>580.0</v>
      </c>
      <c r="C114" s="8" t="s">
        <v>657</v>
      </c>
      <c r="D114" s="8" t="s">
        <v>658</v>
      </c>
      <c r="E114" s="59">
        <v>45976.0</v>
      </c>
      <c r="F114" s="8" t="s">
        <v>660</v>
      </c>
      <c r="G114" s="12" t="s">
        <v>33</v>
      </c>
      <c r="H114" s="30"/>
    </row>
    <row r="115">
      <c r="A115" s="19">
        <v>114.0</v>
      </c>
      <c r="B115" s="8">
        <v>581.0</v>
      </c>
      <c r="C115" s="8" t="s">
        <v>663</v>
      </c>
      <c r="D115" s="8" t="s">
        <v>664</v>
      </c>
      <c r="E115" s="59">
        <v>45976.0</v>
      </c>
      <c r="F115" s="8" t="s">
        <v>666</v>
      </c>
      <c r="G115" s="12" t="s">
        <v>33</v>
      </c>
      <c r="H115" s="30"/>
    </row>
    <row r="116">
      <c r="A116" s="19">
        <v>115.0</v>
      </c>
      <c r="B116" s="8">
        <v>582.0</v>
      </c>
      <c r="C116" s="8" t="s">
        <v>667</v>
      </c>
      <c r="D116" s="8" t="s">
        <v>668</v>
      </c>
      <c r="E116" s="8" t="s">
        <v>669</v>
      </c>
      <c r="F116" s="8" t="s">
        <v>233</v>
      </c>
      <c r="G116" s="12" t="s">
        <v>14</v>
      </c>
      <c r="H116" s="30"/>
    </row>
    <row r="117">
      <c r="A117" s="19">
        <v>116.0</v>
      </c>
      <c r="B117" s="8">
        <v>583.0</v>
      </c>
      <c r="C117" s="8" t="s">
        <v>675</v>
      </c>
      <c r="D117" s="8" t="s">
        <v>676</v>
      </c>
      <c r="E117" s="59">
        <v>45977.0</v>
      </c>
      <c r="F117" s="8" t="s">
        <v>87</v>
      </c>
      <c r="G117" s="12" t="s">
        <v>33</v>
      </c>
      <c r="H117" s="30"/>
    </row>
    <row r="118">
      <c r="A118" s="19">
        <v>117.0</v>
      </c>
      <c r="B118" s="8">
        <v>584.0</v>
      </c>
      <c r="C118" s="8" t="s">
        <v>645</v>
      </c>
      <c r="D118" s="8" t="s">
        <v>680</v>
      </c>
      <c r="E118" s="59">
        <v>45980.0</v>
      </c>
      <c r="F118" s="8" t="s">
        <v>641</v>
      </c>
      <c r="G118" s="12" t="s">
        <v>31</v>
      </c>
      <c r="H118" s="30"/>
    </row>
    <row r="119">
      <c r="A119" s="19">
        <v>118.0</v>
      </c>
      <c r="B119" s="8">
        <v>585.0</v>
      </c>
      <c r="C119" s="8" t="s">
        <v>684</v>
      </c>
      <c r="D119" s="8" t="s">
        <v>685</v>
      </c>
      <c r="E119" s="59">
        <v>45983.0</v>
      </c>
      <c r="F119" s="8" t="s">
        <v>408</v>
      </c>
      <c r="G119" s="12" t="s">
        <v>33</v>
      </c>
      <c r="H119" s="30"/>
    </row>
    <row r="120">
      <c r="A120" s="19">
        <v>119.0</v>
      </c>
      <c r="B120" s="8">
        <v>586.0</v>
      </c>
      <c r="C120" s="8" t="s">
        <v>688</v>
      </c>
      <c r="D120" s="8" t="s">
        <v>689</v>
      </c>
      <c r="E120" s="59">
        <v>45982.0</v>
      </c>
      <c r="F120" s="8" t="s">
        <v>641</v>
      </c>
      <c r="G120" s="12"/>
      <c r="H120" s="30"/>
    </row>
    <row r="121">
      <c r="A121" s="19">
        <v>120.0</v>
      </c>
      <c r="B121" s="8">
        <v>587.0</v>
      </c>
      <c r="C121" s="8" t="s">
        <v>684</v>
      </c>
      <c r="D121" s="8" t="s">
        <v>685</v>
      </c>
      <c r="E121" s="77">
        <v>45997.0</v>
      </c>
      <c r="F121" s="8" t="s">
        <v>402</v>
      </c>
      <c r="G121" s="12" t="s">
        <v>33</v>
      </c>
      <c r="H121" s="30"/>
    </row>
    <row r="122">
      <c r="A122" s="19">
        <v>121.0</v>
      </c>
      <c r="B122" s="8">
        <v>588.0</v>
      </c>
      <c r="C122" s="60" t="s">
        <v>694</v>
      </c>
      <c r="D122" s="8" t="s">
        <v>695</v>
      </c>
      <c r="E122" s="59">
        <v>45984.0</v>
      </c>
      <c r="F122" s="8" t="s">
        <v>696</v>
      </c>
      <c r="G122" s="12" t="s">
        <v>33</v>
      </c>
      <c r="H122" s="30"/>
    </row>
    <row r="123">
      <c r="A123" s="19">
        <v>122.0</v>
      </c>
      <c r="B123" s="8">
        <v>589.0</v>
      </c>
      <c r="C123" s="8" t="s">
        <v>697</v>
      </c>
      <c r="D123" s="8" t="s">
        <v>698</v>
      </c>
      <c r="E123" s="59">
        <v>45982.0</v>
      </c>
      <c r="F123" s="8" t="s">
        <v>699</v>
      </c>
      <c r="G123" s="12" t="s">
        <v>31</v>
      </c>
      <c r="H123" s="30"/>
    </row>
    <row r="124">
      <c r="A124" s="19">
        <v>123.0</v>
      </c>
      <c r="B124" s="8">
        <v>590.0</v>
      </c>
      <c r="C124" s="8" t="s">
        <v>701</v>
      </c>
      <c r="D124" s="8" t="s">
        <v>702</v>
      </c>
      <c r="E124" s="59">
        <v>45983.0</v>
      </c>
      <c r="F124" s="8" t="s">
        <v>704</v>
      </c>
      <c r="G124" s="12" t="s">
        <v>31</v>
      </c>
      <c r="H124" s="30"/>
    </row>
    <row r="125">
      <c r="A125" s="19">
        <v>124.0</v>
      </c>
      <c r="B125" s="8">
        <v>591.0</v>
      </c>
      <c r="C125" s="8" t="s">
        <v>701</v>
      </c>
      <c r="D125" s="8" t="s">
        <v>708</v>
      </c>
      <c r="E125" s="59">
        <v>45983.0</v>
      </c>
      <c r="F125" s="8" t="s">
        <v>704</v>
      </c>
      <c r="G125" s="12" t="s">
        <v>31</v>
      </c>
      <c r="H125" s="30"/>
    </row>
    <row r="126">
      <c r="A126" s="19">
        <v>125.0</v>
      </c>
      <c r="B126" s="8">
        <v>592.0</v>
      </c>
      <c r="C126" s="8" t="s">
        <v>701</v>
      </c>
      <c r="D126" s="8" t="s">
        <v>710</v>
      </c>
      <c r="E126" s="59">
        <v>45983.0</v>
      </c>
      <c r="F126" s="8" t="s">
        <v>704</v>
      </c>
      <c r="G126" s="12" t="s">
        <v>31</v>
      </c>
      <c r="H126" s="30"/>
    </row>
    <row r="127">
      <c r="A127" s="19">
        <v>126.0</v>
      </c>
      <c r="B127" s="8">
        <v>593.0</v>
      </c>
      <c r="C127" s="8" t="s">
        <v>701</v>
      </c>
      <c r="D127" s="8" t="s">
        <v>714</v>
      </c>
      <c r="E127" s="59">
        <v>45983.0</v>
      </c>
      <c r="F127" s="8" t="s">
        <v>704</v>
      </c>
      <c r="G127" s="12" t="s">
        <v>31</v>
      </c>
      <c r="H127" s="30"/>
    </row>
    <row r="128">
      <c r="A128" s="19">
        <v>127.0</v>
      </c>
      <c r="B128" s="8">
        <v>594.0</v>
      </c>
      <c r="C128" s="8" t="s">
        <v>717</v>
      </c>
      <c r="D128" s="8" t="s">
        <v>719</v>
      </c>
      <c r="E128" s="59">
        <v>45983.0</v>
      </c>
      <c r="F128" s="8" t="s">
        <v>402</v>
      </c>
      <c r="G128" s="12" t="s">
        <v>31</v>
      </c>
      <c r="H128" s="30"/>
    </row>
    <row r="129">
      <c r="A129" s="19">
        <v>128.0</v>
      </c>
      <c r="B129" s="8">
        <v>595.0</v>
      </c>
      <c r="C129" s="60" t="s">
        <v>722</v>
      </c>
      <c r="D129" s="8" t="s">
        <v>724</v>
      </c>
      <c r="E129" s="59">
        <v>45984.0</v>
      </c>
      <c r="F129" s="8" t="s">
        <v>725</v>
      </c>
      <c r="G129" s="12" t="s">
        <v>31</v>
      </c>
      <c r="H129" s="30"/>
    </row>
    <row r="130">
      <c r="A130" s="19">
        <v>129.0</v>
      </c>
      <c r="B130" s="8">
        <v>596.0</v>
      </c>
      <c r="C130" s="8" t="s">
        <v>728</v>
      </c>
      <c r="D130" s="8" t="s">
        <v>730</v>
      </c>
      <c r="E130" s="59">
        <v>45990.0</v>
      </c>
      <c r="F130" s="8" t="s">
        <v>731</v>
      </c>
      <c r="G130" s="12" t="s">
        <v>33</v>
      </c>
      <c r="H130" s="30"/>
    </row>
    <row r="131">
      <c r="A131" s="19">
        <v>130.0</v>
      </c>
      <c r="B131" s="8">
        <v>597.0</v>
      </c>
      <c r="C131" s="8" t="s">
        <v>667</v>
      </c>
      <c r="D131" s="8" t="s">
        <v>734</v>
      </c>
      <c r="E131" s="71" t="s">
        <v>735</v>
      </c>
      <c r="F131" s="8" t="s">
        <v>233</v>
      </c>
      <c r="G131" s="12" t="s">
        <v>14</v>
      </c>
      <c r="H131" s="30"/>
    </row>
    <row r="132">
      <c r="A132" s="19">
        <v>131.0</v>
      </c>
      <c r="B132" s="8">
        <v>598.0</v>
      </c>
      <c r="C132" s="8" t="s">
        <v>738</v>
      </c>
      <c r="D132" s="8" t="s">
        <v>739</v>
      </c>
      <c r="E132" s="59">
        <v>45991.0</v>
      </c>
      <c r="F132" s="8" t="s">
        <v>595</v>
      </c>
      <c r="G132" s="12" t="s">
        <v>33</v>
      </c>
      <c r="H132" s="30"/>
    </row>
    <row r="133">
      <c r="A133" s="19">
        <v>132.0</v>
      </c>
      <c r="B133" s="8">
        <v>599.0</v>
      </c>
      <c r="C133" s="8" t="s">
        <v>740</v>
      </c>
      <c r="D133" s="8" t="s">
        <v>741</v>
      </c>
      <c r="E133" s="120">
        <v>45990.0</v>
      </c>
      <c r="F133" s="8" t="s">
        <v>422</v>
      </c>
      <c r="G133" s="12" t="s">
        <v>33</v>
      </c>
      <c r="H133" s="30"/>
    </row>
    <row r="134">
      <c r="A134" s="19">
        <v>133.0</v>
      </c>
      <c r="B134" s="8">
        <v>600.0</v>
      </c>
      <c r="C134" s="8" t="s">
        <v>748</v>
      </c>
      <c r="D134" s="8" t="s">
        <v>752</v>
      </c>
      <c r="E134" s="8" t="s">
        <v>753</v>
      </c>
      <c r="F134" s="47"/>
      <c r="G134" s="12"/>
      <c r="H134" s="30"/>
    </row>
    <row r="135">
      <c r="A135" s="19">
        <v>134.0</v>
      </c>
      <c r="B135" s="8">
        <v>601.0</v>
      </c>
      <c r="C135" s="8" t="s">
        <v>211</v>
      </c>
      <c r="D135" s="8" t="s">
        <v>759</v>
      </c>
      <c r="E135" s="8" t="s">
        <v>760</v>
      </c>
      <c r="F135" s="8" t="s">
        <v>233</v>
      </c>
      <c r="G135" s="12" t="s">
        <v>14</v>
      </c>
      <c r="H135" s="30"/>
    </row>
    <row r="136">
      <c r="A136" s="19">
        <v>135.0</v>
      </c>
      <c r="B136" s="8">
        <v>602.0</v>
      </c>
      <c r="C136" s="8" t="s">
        <v>764</v>
      </c>
      <c r="D136" s="8" t="s">
        <v>765</v>
      </c>
      <c r="E136" s="8" t="s">
        <v>767</v>
      </c>
      <c r="F136" s="8" t="s">
        <v>233</v>
      </c>
      <c r="G136" s="12" t="s">
        <v>14</v>
      </c>
      <c r="H136" s="30"/>
    </row>
    <row r="137">
      <c r="A137" s="19">
        <v>136.0</v>
      </c>
      <c r="B137" s="8">
        <v>603.0</v>
      </c>
      <c r="C137" s="47"/>
      <c r="D137" s="47"/>
      <c r="E137" s="47"/>
      <c r="F137" s="47"/>
      <c r="G137" s="12"/>
      <c r="H137" s="30"/>
    </row>
    <row r="138">
      <c r="A138" s="19">
        <v>137.0</v>
      </c>
      <c r="B138" s="8">
        <v>604.0</v>
      </c>
      <c r="C138" s="8" t="s">
        <v>771</v>
      </c>
      <c r="D138" s="8" t="s">
        <v>772</v>
      </c>
      <c r="E138" s="59">
        <v>45995.0</v>
      </c>
      <c r="F138" s="8" t="s">
        <v>775</v>
      </c>
      <c r="G138" s="12" t="s">
        <v>31</v>
      </c>
      <c r="H138" s="30"/>
    </row>
    <row r="139">
      <c r="A139" s="19">
        <v>138.0</v>
      </c>
      <c r="B139" s="8">
        <v>605.0</v>
      </c>
      <c r="C139" s="8" t="s">
        <v>778</v>
      </c>
      <c r="D139" s="8" t="s">
        <v>780</v>
      </c>
      <c r="E139" s="59">
        <v>45998.0</v>
      </c>
      <c r="F139" s="8" t="s">
        <v>117</v>
      </c>
      <c r="G139" s="12" t="s">
        <v>14</v>
      </c>
      <c r="H139" s="30"/>
    </row>
    <row r="140">
      <c r="A140" s="19">
        <v>139.0</v>
      </c>
      <c r="B140" s="8">
        <v>606.0</v>
      </c>
      <c r="C140" s="8" t="s">
        <v>782</v>
      </c>
      <c r="D140" s="8" t="s">
        <v>784</v>
      </c>
      <c r="E140" s="8" t="s">
        <v>786</v>
      </c>
      <c r="F140" s="8" t="s">
        <v>117</v>
      </c>
      <c r="G140" s="12" t="s">
        <v>14</v>
      </c>
      <c r="H140" s="30"/>
    </row>
    <row r="141">
      <c r="A141" s="19">
        <v>140.0</v>
      </c>
      <c r="B141" s="8">
        <v>607.0</v>
      </c>
      <c r="C141" s="8" t="s">
        <v>788</v>
      </c>
      <c r="D141" s="8" t="s">
        <v>790</v>
      </c>
      <c r="E141" s="59">
        <v>45998.0</v>
      </c>
      <c r="F141" s="8" t="s">
        <v>792</v>
      </c>
      <c r="G141" s="12" t="s">
        <v>33</v>
      </c>
      <c r="H141" s="30"/>
    </row>
    <row r="142">
      <c r="A142" s="19">
        <v>141.0</v>
      </c>
      <c r="B142" s="8">
        <v>608.0</v>
      </c>
      <c r="C142" s="60" t="s">
        <v>795</v>
      </c>
      <c r="D142" s="8" t="s">
        <v>796</v>
      </c>
      <c r="E142" s="59">
        <v>46005.0</v>
      </c>
      <c r="F142" s="8" t="s">
        <v>797</v>
      </c>
      <c r="G142" s="12" t="s">
        <v>33</v>
      </c>
      <c r="H142" s="30"/>
    </row>
    <row r="143">
      <c r="A143" s="19">
        <v>142.0</v>
      </c>
      <c r="B143" s="8">
        <v>609.0</v>
      </c>
      <c r="C143" s="8" t="s">
        <v>264</v>
      </c>
      <c r="D143" s="8" t="s">
        <v>801</v>
      </c>
      <c r="E143" s="53" t="s">
        <v>803</v>
      </c>
      <c r="F143" s="8" t="s">
        <v>233</v>
      </c>
      <c r="G143" s="12" t="s">
        <v>14</v>
      </c>
      <c r="H143" s="30"/>
    </row>
    <row r="144">
      <c r="A144" s="19">
        <v>143.0</v>
      </c>
      <c r="B144" s="8">
        <v>610.0</v>
      </c>
      <c r="C144" s="8" t="s">
        <v>230</v>
      </c>
      <c r="D144" s="8" t="s">
        <v>806</v>
      </c>
      <c r="E144" s="8" t="s">
        <v>807</v>
      </c>
      <c r="F144" s="8" t="s">
        <v>244</v>
      </c>
      <c r="G144" s="12" t="s">
        <v>14</v>
      </c>
      <c r="H144" s="30"/>
    </row>
    <row r="145">
      <c r="A145" s="19">
        <v>144.0</v>
      </c>
      <c r="B145" s="8">
        <v>611.0</v>
      </c>
      <c r="C145" s="8" t="s">
        <v>811</v>
      </c>
      <c r="D145" s="8" t="s">
        <v>812</v>
      </c>
      <c r="E145" s="53" t="s">
        <v>814</v>
      </c>
      <c r="F145" s="8" t="s">
        <v>233</v>
      </c>
      <c r="G145" s="12" t="s">
        <v>14</v>
      </c>
      <c r="H145" s="30"/>
    </row>
    <row r="146">
      <c r="A146" s="19">
        <v>145.0</v>
      </c>
      <c r="B146" s="8">
        <v>612.0</v>
      </c>
      <c r="C146" s="8" t="s">
        <v>817</v>
      </c>
      <c r="D146" s="8" t="s">
        <v>819</v>
      </c>
      <c r="E146" s="59">
        <v>45997.0</v>
      </c>
      <c r="F146" s="8" t="s">
        <v>820</v>
      </c>
      <c r="G146" s="12" t="s">
        <v>33</v>
      </c>
      <c r="H146" s="30"/>
    </row>
    <row r="147">
      <c r="A147" s="19">
        <v>146.0</v>
      </c>
      <c r="B147" s="8">
        <v>613.0</v>
      </c>
      <c r="C147" s="8" t="s">
        <v>823</v>
      </c>
      <c r="D147" s="8" t="s">
        <v>825</v>
      </c>
      <c r="E147" s="88">
        <v>45997.0</v>
      </c>
      <c r="F147" s="8" t="s">
        <v>826</v>
      </c>
      <c r="G147" s="12" t="s">
        <v>33</v>
      </c>
      <c r="H147" s="30"/>
    </row>
    <row r="148">
      <c r="A148" s="19">
        <v>147.0</v>
      </c>
      <c r="B148" s="8">
        <v>614.0</v>
      </c>
      <c r="C148" s="60" t="s">
        <v>830</v>
      </c>
      <c r="D148" s="8" t="s">
        <v>831</v>
      </c>
      <c r="E148" s="59">
        <v>45997.0</v>
      </c>
      <c r="F148" s="8" t="s">
        <v>832</v>
      </c>
      <c r="G148" s="12" t="s">
        <v>33</v>
      </c>
      <c r="H148" s="30"/>
    </row>
    <row r="149">
      <c r="A149" s="19">
        <v>148.0</v>
      </c>
      <c r="B149" s="8">
        <v>615.0</v>
      </c>
      <c r="C149" s="8" t="s">
        <v>835</v>
      </c>
      <c r="D149" s="8" t="s">
        <v>837</v>
      </c>
      <c r="E149" s="88">
        <v>45997.0</v>
      </c>
      <c r="F149" s="8" t="s">
        <v>839</v>
      </c>
      <c r="G149" s="12" t="s">
        <v>33</v>
      </c>
      <c r="H149" s="30"/>
    </row>
    <row r="150">
      <c r="A150" s="19">
        <v>149.0</v>
      </c>
      <c r="B150" s="8">
        <v>616.0</v>
      </c>
      <c r="C150" s="8" t="s">
        <v>842</v>
      </c>
      <c r="D150" s="8" t="s">
        <v>843</v>
      </c>
      <c r="E150" s="59">
        <v>45998.0</v>
      </c>
      <c r="F150" s="8" t="s">
        <v>820</v>
      </c>
      <c r="G150" s="12" t="s">
        <v>33</v>
      </c>
      <c r="H150" s="30"/>
    </row>
    <row r="151">
      <c r="A151" s="19">
        <v>150.0</v>
      </c>
      <c r="B151" s="8">
        <v>617.0</v>
      </c>
      <c r="C151" s="8" t="s">
        <v>846</v>
      </c>
      <c r="D151" s="8" t="s">
        <v>849</v>
      </c>
      <c r="E151" s="8" t="s">
        <v>850</v>
      </c>
      <c r="F151" s="8" t="s">
        <v>13</v>
      </c>
      <c r="G151" s="12" t="s">
        <v>14</v>
      </c>
      <c r="H151" s="30"/>
    </row>
    <row r="152" ht="24.75" customHeight="1">
      <c r="A152" s="19">
        <v>151.0</v>
      </c>
      <c r="B152" s="8">
        <v>618.0</v>
      </c>
      <c r="C152" s="8" t="s">
        <v>853</v>
      </c>
      <c r="D152" s="13" t="s">
        <v>854</v>
      </c>
      <c r="E152" s="59">
        <v>45998.0</v>
      </c>
      <c r="F152" s="8" t="s">
        <v>856</v>
      </c>
      <c r="G152" s="12" t="s">
        <v>33</v>
      </c>
      <c r="H152" s="30"/>
    </row>
    <row r="153">
      <c r="A153" s="19">
        <v>152.0</v>
      </c>
      <c r="B153" s="8">
        <v>619.0</v>
      </c>
      <c r="C153" s="8" t="s">
        <v>853</v>
      </c>
      <c r="D153" s="8" t="s">
        <v>858</v>
      </c>
      <c r="E153" s="59">
        <v>45998.0</v>
      </c>
      <c r="F153" s="8" t="s">
        <v>856</v>
      </c>
      <c r="G153" s="12" t="s">
        <v>33</v>
      </c>
      <c r="H153" s="30"/>
    </row>
    <row r="154">
      <c r="A154" s="19">
        <v>153.0</v>
      </c>
      <c r="B154" s="8">
        <v>620.0</v>
      </c>
      <c r="C154" s="8" t="s">
        <v>853</v>
      </c>
      <c r="D154" s="8" t="s">
        <v>863</v>
      </c>
      <c r="E154" s="59">
        <v>45998.0</v>
      </c>
      <c r="F154" s="8" t="s">
        <v>856</v>
      </c>
      <c r="G154" s="12" t="s">
        <v>33</v>
      </c>
      <c r="H154" s="30"/>
    </row>
    <row r="155">
      <c r="A155" s="19">
        <v>154.0</v>
      </c>
      <c r="B155" s="8">
        <v>621.0</v>
      </c>
      <c r="C155" s="8" t="s">
        <v>853</v>
      </c>
      <c r="D155" s="8" t="s">
        <v>867</v>
      </c>
      <c r="E155" s="59">
        <v>45998.0</v>
      </c>
      <c r="F155" s="8" t="s">
        <v>856</v>
      </c>
      <c r="G155" s="12" t="s">
        <v>33</v>
      </c>
      <c r="H155" s="30"/>
    </row>
    <row r="156">
      <c r="A156" s="19">
        <v>155.0</v>
      </c>
      <c r="B156" s="8">
        <v>622.0</v>
      </c>
      <c r="C156" s="8" t="s">
        <v>853</v>
      </c>
      <c r="D156" s="8" t="s">
        <v>871</v>
      </c>
      <c r="E156" s="59">
        <v>45998.0</v>
      </c>
      <c r="F156" s="8" t="s">
        <v>856</v>
      </c>
      <c r="G156" s="12" t="s">
        <v>33</v>
      </c>
      <c r="H156" s="30"/>
    </row>
    <row r="157">
      <c r="A157" s="19">
        <v>156.0</v>
      </c>
      <c r="B157" s="8">
        <v>623.0</v>
      </c>
      <c r="C157" s="8" t="s">
        <v>853</v>
      </c>
      <c r="D157" s="8" t="s">
        <v>877</v>
      </c>
      <c r="E157" s="59">
        <v>45998.0</v>
      </c>
      <c r="F157" s="8" t="s">
        <v>856</v>
      </c>
      <c r="G157" s="12" t="s">
        <v>33</v>
      </c>
      <c r="H157" s="30"/>
    </row>
    <row r="158">
      <c r="A158" s="19">
        <v>157.0</v>
      </c>
      <c r="B158" s="8">
        <v>624.0</v>
      </c>
      <c r="C158" s="8" t="s">
        <v>853</v>
      </c>
      <c r="D158" s="8" t="s">
        <v>883</v>
      </c>
      <c r="E158" s="59">
        <v>45998.0</v>
      </c>
      <c r="F158" s="8" t="s">
        <v>856</v>
      </c>
      <c r="G158" s="12" t="s">
        <v>33</v>
      </c>
      <c r="H158" s="30"/>
    </row>
    <row r="159">
      <c r="A159" s="19">
        <v>158.0</v>
      </c>
      <c r="B159" s="8">
        <v>625.0</v>
      </c>
      <c r="C159" s="8" t="s">
        <v>853</v>
      </c>
      <c r="D159" s="8" t="s">
        <v>889</v>
      </c>
      <c r="E159" s="59">
        <v>45998.0</v>
      </c>
      <c r="F159" s="8" t="s">
        <v>856</v>
      </c>
      <c r="G159" s="12" t="s">
        <v>33</v>
      </c>
      <c r="H159" s="30"/>
    </row>
    <row r="160">
      <c r="A160" s="19">
        <v>159.0</v>
      </c>
      <c r="B160" s="8">
        <v>626.0</v>
      </c>
      <c r="C160" s="60" t="s">
        <v>795</v>
      </c>
      <c r="D160" s="8" t="s">
        <v>894</v>
      </c>
      <c r="E160" s="59">
        <v>46005.0</v>
      </c>
      <c r="F160" s="8" t="s">
        <v>896</v>
      </c>
      <c r="G160" s="12" t="s">
        <v>33</v>
      </c>
      <c r="H160" s="30"/>
    </row>
    <row r="161">
      <c r="A161" s="19">
        <v>160.0</v>
      </c>
      <c r="B161" s="8">
        <v>627.0</v>
      </c>
      <c r="C161" s="60" t="s">
        <v>899</v>
      </c>
      <c r="D161" s="8" t="s">
        <v>900</v>
      </c>
      <c r="E161" s="77">
        <v>46000.0</v>
      </c>
      <c r="F161" s="8" t="s">
        <v>896</v>
      </c>
      <c r="G161" s="12" t="s">
        <v>31</v>
      </c>
      <c r="H161" s="30"/>
    </row>
    <row r="162">
      <c r="A162" s="19">
        <v>161.0</v>
      </c>
      <c r="B162" s="8">
        <v>628.0</v>
      </c>
      <c r="C162" s="53" t="s">
        <v>903</v>
      </c>
      <c r="D162" s="8" t="s">
        <v>904</v>
      </c>
      <c r="E162" s="53" t="s">
        <v>905</v>
      </c>
      <c r="F162" s="8" t="s">
        <v>13</v>
      </c>
      <c r="G162" s="12" t="s">
        <v>14</v>
      </c>
      <c r="H162" s="30"/>
    </row>
    <row r="163">
      <c r="A163" s="19">
        <v>162.0</v>
      </c>
      <c r="B163" s="8">
        <v>629.0</v>
      </c>
      <c r="C163" s="53" t="s">
        <v>907</v>
      </c>
      <c r="D163" s="8" t="s">
        <v>908</v>
      </c>
      <c r="E163" s="53" t="s">
        <v>911</v>
      </c>
      <c r="F163" s="8" t="s">
        <v>13</v>
      </c>
      <c r="G163" s="12" t="s">
        <v>14</v>
      </c>
      <c r="H163" s="30"/>
    </row>
    <row r="164">
      <c r="A164" s="19">
        <v>163.0</v>
      </c>
      <c r="B164" s="8">
        <v>630.0</v>
      </c>
      <c r="C164" s="8" t="s">
        <v>915</v>
      </c>
      <c r="D164" s="8" t="s">
        <v>916</v>
      </c>
      <c r="E164" s="53" t="s">
        <v>917</v>
      </c>
      <c r="F164" s="8" t="s">
        <v>13</v>
      </c>
      <c r="G164" s="12" t="s">
        <v>14</v>
      </c>
      <c r="H164" s="30"/>
    </row>
    <row r="165">
      <c r="A165" s="19">
        <v>164.0</v>
      </c>
      <c r="B165" s="8">
        <v>631.0</v>
      </c>
      <c r="C165" s="8" t="s">
        <v>920</v>
      </c>
      <c r="D165" s="8" t="s">
        <v>921</v>
      </c>
      <c r="E165" s="59">
        <v>46003.0</v>
      </c>
      <c r="F165" s="8" t="s">
        <v>923</v>
      </c>
      <c r="G165" s="12"/>
      <c r="H165" s="30"/>
    </row>
    <row r="166">
      <c r="A166" s="19">
        <v>165.0</v>
      </c>
      <c r="B166" s="8">
        <v>632.0</v>
      </c>
      <c r="C166" s="8" t="s">
        <v>925</v>
      </c>
      <c r="D166" s="8" t="s">
        <v>927</v>
      </c>
      <c r="E166" s="79" t="s">
        <v>928</v>
      </c>
      <c r="F166" s="8" t="s">
        <v>13</v>
      </c>
      <c r="G166" s="12" t="s">
        <v>14</v>
      </c>
      <c r="H166" s="30"/>
    </row>
    <row r="167">
      <c r="A167" s="19">
        <v>166.0</v>
      </c>
      <c r="B167" s="8">
        <v>633.0</v>
      </c>
      <c r="C167" s="8" t="s">
        <v>920</v>
      </c>
      <c r="D167" s="8" t="s">
        <v>932</v>
      </c>
      <c r="E167" s="59">
        <v>46003.0</v>
      </c>
      <c r="F167" s="8" t="s">
        <v>923</v>
      </c>
      <c r="G167" s="12" t="s">
        <v>33</v>
      </c>
      <c r="H167" s="30"/>
    </row>
    <row r="168">
      <c r="A168" s="19">
        <v>167.0</v>
      </c>
      <c r="B168" s="8">
        <v>634.0</v>
      </c>
      <c r="C168" s="8" t="s">
        <v>938</v>
      </c>
      <c r="D168" s="8" t="s">
        <v>939</v>
      </c>
      <c r="E168" s="59">
        <v>46004.0</v>
      </c>
      <c r="F168" s="8" t="s">
        <v>941</v>
      </c>
      <c r="G168" s="12" t="s">
        <v>33</v>
      </c>
      <c r="H168" s="30"/>
    </row>
    <row r="169">
      <c r="A169" s="19">
        <v>168.0</v>
      </c>
      <c r="B169" s="8">
        <v>634.0</v>
      </c>
      <c r="C169" s="8" t="s">
        <v>944</v>
      </c>
      <c r="D169" s="8" t="s">
        <v>945</v>
      </c>
      <c r="E169" s="59">
        <v>46005.0</v>
      </c>
      <c r="F169" s="8" t="s">
        <v>948</v>
      </c>
      <c r="G169" s="12" t="s">
        <v>31</v>
      </c>
      <c r="H169" s="30"/>
    </row>
    <row r="170">
      <c r="A170" s="19">
        <v>169.0</v>
      </c>
      <c r="B170" s="8">
        <v>635.0</v>
      </c>
      <c r="C170" s="8" t="s">
        <v>951</v>
      </c>
      <c r="D170" s="8" t="s">
        <v>953</v>
      </c>
      <c r="E170" s="59">
        <v>46016.0</v>
      </c>
      <c r="F170" s="8" t="s">
        <v>941</v>
      </c>
      <c r="G170" s="12" t="s">
        <v>31</v>
      </c>
      <c r="H170" s="30"/>
    </row>
    <row r="171">
      <c r="A171" s="19">
        <v>170.0</v>
      </c>
      <c r="B171" s="8">
        <v>636.0</v>
      </c>
      <c r="C171" s="112" t="s">
        <v>958</v>
      </c>
      <c r="D171" s="8" t="s">
        <v>959</v>
      </c>
      <c r="E171" s="79" t="s">
        <v>961</v>
      </c>
      <c r="F171" s="8" t="s">
        <v>13</v>
      </c>
      <c r="G171" s="12" t="s">
        <v>14</v>
      </c>
      <c r="H171" s="30"/>
    </row>
    <row r="172">
      <c r="A172" s="19">
        <v>171.0</v>
      </c>
      <c r="B172" s="8">
        <v>637.0</v>
      </c>
      <c r="C172" s="89" t="s">
        <v>966</v>
      </c>
      <c r="D172" s="8" t="s">
        <v>967</v>
      </c>
      <c r="E172" s="118" t="s">
        <v>969</v>
      </c>
      <c r="F172" s="8" t="s">
        <v>13</v>
      </c>
      <c r="G172" s="12" t="s">
        <v>14</v>
      </c>
      <c r="H172" s="30"/>
    </row>
    <row r="173">
      <c r="A173" s="19">
        <v>172.0</v>
      </c>
      <c r="B173" s="8">
        <v>638.0</v>
      </c>
      <c r="C173" s="8" t="s">
        <v>973</v>
      </c>
      <c r="D173" s="8" t="s">
        <v>974</v>
      </c>
      <c r="E173" s="127">
        <v>46009.0</v>
      </c>
      <c r="F173" s="8" t="s">
        <v>151</v>
      </c>
      <c r="G173" s="12" t="s">
        <v>31</v>
      </c>
      <c r="H173" s="30"/>
    </row>
    <row r="174">
      <c r="A174" s="19">
        <v>173.0</v>
      </c>
      <c r="B174" s="8">
        <v>639.0</v>
      </c>
      <c r="C174" s="116" t="s">
        <v>976</v>
      </c>
      <c r="D174" s="8" t="s">
        <v>977</v>
      </c>
      <c r="E174" s="118" t="s">
        <v>978</v>
      </c>
      <c r="F174" s="8" t="s">
        <v>13</v>
      </c>
      <c r="G174" s="12" t="s">
        <v>14</v>
      </c>
      <c r="H174" s="30"/>
    </row>
    <row r="175">
      <c r="A175" s="19">
        <v>174.0</v>
      </c>
      <c r="B175" s="8">
        <v>640.0</v>
      </c>
      <c r="C175" s="75" t="s">
        <v>979</v>
      </c>
      <c r="D175" s="8" t="s">
        <v>981</v>
      </c>
      <c r="E175" s="76" t="s">
        <v>982</v>
      </c>
      <c r="F175" s="8" t="s">
        <v>13</v>
      </c>
      <c r="G175" s="12" t="s">
        <v>14</v>
      </c>
      <c r="H175" s="30"/>
    </row>
    <row r="176">
      <c r="A176" s="19">
        <v>175.0</v>
      </c>
      <c r="B176" s="8">
        <v>641.0</v>
      </c>
      <c r="C176" s="116" t="s">
        <v>984</v>
      </c>
      <c r="D176" s="8" t="s">
        <v>985</v>
      </c>
      <c r="E176" s="118" t="s">
        <v>986</v>
      </c>
      <c r="F176" s="8" t="s">
        <v>13</v>
      </c>
      <c r="G176" s="12" t="s">
        <v>14</v>
      </c>
      <c r="H176" s="30"/>
    </row>
    <row r="177">
      <c r="A177" s="19">
        <v>176.0</v>
      </c>
      <c r="B177" s="8">
        <v>642.0</v>
      </c>
      <c r="C177" s="118" t="s">
        <v>989</v>
      </c>
      <c r="D177" s="8" t="s">
        <v>991</v>
      </c>
      <c r="E177" s="127">
        <v>46011.0</v>
      </c>
      <c r="F177" s="8" t="s">
        <v>993</v>
      </c>
      <c r="G177" s="12"/>
      <c r="H177" s="30"/>
    </row>
    <row r="178">
      <c r="A178" s="19">
        <v>177.0</v>
      </c>
      <c r="B178" s="8">
        <v>643.0</v>
      </c>
      <c r="C178" s="118" t="s">
        <v>994</v>
      </c>
      <c r="D178" s="8" t="s">
        <v>995</v>
      </c>
      <c r="E178" s="59">
        <v>46011.0</v>
      </c>
      <c r="F178" s="8" t="s">
        <v>998</v>
      </c>
      <c r="G178" s="12" t="s">
        <v>33</v>
      </c>
      <c r="H178" s="30"/>
    </row>
    <row r="179">
      <c r="A179" s="19">
        <v>178.0</v>
      </c>
      <c r="B179" s="8">
        <v>644.0</v>
      </c>
      <c r="C179" s="8" t="s">
        <v>999</v>
      </c>
      <c r="D179" s="8" t="s">
        <v>1000</v>
      </c>
      <c r="E179" s="59">
        <v>46011.0</v>
      </c>
      <c r="F179" s="8" t="s">
        <v>80</v>
      </c>
      <c r="G179" s="12"/>
      <c r="H179" s="30"/>
    </row>
    <row r="180">
      <c r="A180" s="19">
        <v>179.0</v>
      </c>
      <c r="B180" s="8">
        <v>655.0</v>
      </c>
      <c r="C180" s="8" t="s">
        <v>999</v>
      </c>
      <c r="D180" s="8" t="s">
        <v>1003</v>
      </c>
      <c r="E180" s="59">
        <v>46011.0</v>
      </c>
      <c r="F180" s="8" t="s">
        <v>87</v>
      </c>
      <c r="G180" s="12"/>
      <c r="H180" s="30"/>
    </row>
    <row r="181">
      <c r="A181" s="19">
        <v>180.0</v>
      </c>
      <c r="B181" s="8">
        <v>656.0</v>
      </c>
      <c r="C181" s="8" t="s">
        <v>782</v>
      </c>
      <c r="D181" s="8" t="s">
        <v>1006</v>
      </c>
      <c r="E181" s="8" t="s">
        <v>1008</v>
      </c>
      <c r="F181" s="8" t="s">
        <v>87</v>
      </c>
      <c r="G181" s="12" t="s">
        <v>33</v>
      </c>
      <c r="H181" s="30"/>
    </row>
    <row r="182">
      <c r="A182" s="19">
        <v>181.0</v>
      </c>
      <c r="B182" s="8">
        <v>657.0</v>
      </c>
      <c r="C182" s="8" t="s">
        <v>999</v>
      </c>
      <c r="D182" s="8" t="s">
        <v>1010</v>
      </c>
      <c r="E182" s="59">
        <v>46012.0</v>
      </c>
      <c r="F182" s="8" t="s">
        <v>1012</v>
      </c>
      <c r="G182" s="12"/>
      <c r="H182" s="30"/>
    </row>
    <row r="183">
      <c r="A183" s="19">
        <v>182.0</v>
      </c>
      <c r="B183" s="8">
        <v>658.0</v>
      </c>
      <c r="C183" s="8" t="s">
        <v>1014</v>
      </c>
      <c r="D183" s="8" t="s">
        <v>1016</v>
      </c>
      <c r="E183" s="59">
        <v>46015.0</v>
      </c>
      <c r="F183" s="8" t="s">
        <v>1018</v>
      </c>
      <c r="G183" s="12" t="s">
        <v>33</v>
      </c>
      <c r="H183" s="30"/>
    </row>
    <row r="184">
      <c r="A184" s="19">
        <v>183.0</v>
      </c>
      <c r="B184" s="8">
        <v>659.0</v>
      </c>
      <c r="C184" s="8" t="s">
        <v>106</v>
      </c>
      <c r="D184" s="8" t="s">
        <v>1021</v>
      </c>
      <c r="E184" s="118" t="s">
        <v>1022</v>
      </c>
      <c r="F184" s="8" t="s">
        <v>1023</v>
      </c>
      <c r="G184" s="12" t="s">
        <v>14</v>
      </c>
      <c r="H184" s="30"/>
    </row>
    <row r="185">
      <c r="A185" s="19">
        <v>184.0</v>
      </c>
      <c r="B185" s="8">
        <v>660.0</v>
      </c>
      <c r="C185" s="8" t="s">
        <v>1027</v>
      </c>
      <c r="D185" s="8" t="s">
        <v>1028</v>
      </c>
      <c r="E185" s="141">
        <v>46016.0</v>
      </c>
      <c r="F185" s="8" t="s">
        <v>1035</v>
      </c>
      <c r="G185" s="12" t="s">
        <v>33</v>
      </c>
      <c r="H185" s="30"/>
    </row>
    <row r="186">
      <c r="A186" s="19">
        <v>185.0</v>
      </c>
      <c r="B186" s="8">
        <v>661.0</v>
      </c>
      <c r="C186" s="8" t="s">
        <v>1037</v>
      </c>
      <c r="D186" s="8" t="s">
        <v>1039</v>
      </c>
      <c r="E186" s="127">
        <v>46015.0</v>
      </c>
      <c r="F186" s="8" t="s">
        <v>1040</v>
      </c>
      <c r="G186" s="12" t="s">
        <v>31</v>
      </c>
      <c r="H186" s="30"/>
    </row>
    <row r="187">
      <c r="A187" s="19">
        <v>186.0</v>
      </c>
      <c r="B187" s="8">
        <v>662.0</v>
      </c>
      <c r="C187" s="8" t="s">
        <v>1041</v>
      </c>
      <c r="D187" s="8" t="s">
        <v>455</v>
      </c>
      <c r="E187" s="69" t="s">
        <v>1042</v>
      </c>
      <c r="F187" s="8" t="s">
        <v>233</v>
      </c>
      <c r="G187" s="12" t="s">
        <v>14</v>
      </c>
      <c r="H187" s="30"/>
    </row>
    <row r="188">
      <c r="A188" s="19">
        <v>187.0</v>
      </c>
      <c r="B188" s="8">
        <v>663.0</v>
      </c>
      <c r="C188" s="8" t="s">
        <v>1045</v>
      </c>
      <c r="D188" s="8" t="s">
        <v>1046</v>
      </c>
      <c r="E188" s="8" t="s">
        <v>1048</v>
      </c>
      <c r="F188" s="8" t="s">
        <v>233</v>
      </c>
      <c r="G188" s="12" t="s">
        <v>14</v>
      </c>
      <c r="H188" s="30"/>
    </row>
    <row r="189">
      <c r="A189" s="19">
        <v>188.0</v>
      </c>
      <c r="B189" s="8">
        <v>664.0</v>
      </c>
      <c r="C189" s="116" t="s">
        <v>1051</v>
      </c>
      <c r="D189" s="8" t="s">
        <v>1053</v>
      </c>
      <c r="E189" s="118" t="s">
        <v>1054</v>
      </c>
      <c r="F189" s="8" t="s">
        <v>233</v>
      </c>
      <c r="G189" s="12" t="s">
        <v>14</v>
      </c>
      <c r="H189" s="30"/>
    </row>
    <row r="190">
      <c r="A190" s="19">
        <v>189.0</v>
      </c>
      <c r="B190" s="8">
        <v>665.0</v>
      </c>
      <c r="C190" s="117" t="s">
        <v>1056</v>
      </c>
      <c r="D190" s="8" t="s">
        <v>1058</v>
      </c>
      <c r="E190" s="79" t="s">
        <v>1059</v>
      </c>
      <c r="F190" s="8" t="s">
        <v>233</v>
      </c>
      <c r="G190" s="12" t="s">
        <v>14</v>
      </c>
      <c r="H190" s="30"/>
    </row>
    <row r="191">
      <c r="A191" s="19">
        <v>190.0</v>
      </c>
      <c r="B191" s="8">
        <v>666.0</v>
      </c>
      <c r="C191" s="118" t="s">
        <v>1061</v>
      </c>
      <c r="D191" s="8" t="s">
        <v>1063</v>
      </c>
      <c r="E191" s="8" t="s">
        <v>1065</v>
      </c>
      <c r="F191" s="8" t="s">
        <v>233</v>
      </c>
      <c r="G191" s="12" t="s">
        <v>14</v>
      </c>
      <c r="H191" s="30"/>
    </row>
    <row r="192">
      <c r="A192" s="19">
        <v>191.0</v>
      </c>
      <c r="B192" s="8">
        <v>667.0</v>
      </c>
      <c r="C192" s="89" t="s">
        <v>1067</v>
      </c>
      <c r="D192" s="8" t="s">
        <v>1068</v>
      </c>
      <c r="E192" s="118" t="s">
        <v>1069</v>
      </c>
      <c r="F192" s="8" t="s">
        <v>233</v>
      </c>
      <c r="G192" s="12" t="s">
        <v>14</v>
      </c>
      <c r="H192" s="30"/>
    </row>
    <row r="193">
      <c r="A193" s="19">
        <v>192.0</v>
      </c>
      <c r="B193" s="8">
        <v>668.0</v>
      </c>
      <c r="C193" s="89" t="s">
        <v>141</v>
      </c>
      <c r="D193" s="8" t="s">
        <v>142</v>
      </c>
      <c r="E193" s="118" t="s">
        <v>1069</v>
      </c>
      <c r="F193" s="8" t="s">
        <v>233</v>
      </c>
      <c r="G193" s="12" t="s">
        <v>14</v>
      </c>
      <c r="H193" s="30"/>
    </row>
    <row r="194">
      <c r="A194" s="19">
        <v>193.0</v>
      </c>
      <c r="B194" s="8">
        <v>669.0</v>
      </c>
      <c r="C194" s="117" t="s">
        <v>756</v>
      </c>
      <c r="D194" s="8" t="s">
        <v>1075</v>
      </c>
      <c r="E194" s="117" t="s">
        <v>1076</v>
      </c>
      <c r="F194" s="8" t="s">
        <v>233</v>
      </c>
      <c r="G194" s="12" t="s">
        <v>14</v>
      </c>
      <c r="H194" s="30"/>
    </row>
    <row r="195">
      <c r="A195" s="19">
        <v>194.0</v>
      </c>
      <c r="B195" s="8">
        <v>670.0</v>
      </c>
      <c r="C195" s="116" t="s">
        <v>1078</v>
      </c>
      <c r="D195" s="8" t="s">
        <v>1079</v>
      </c>
      <c r="E195" s="118" t="s">
        <v>1080</v>
      </c>
      <c r="F195" s="8" t="s">
        <v>233</v>
      </c>
      <c r="G195" s="12" t="s">
        <v>14</v>
      </c>
      <c r="H195" s="30"/>
    </row>
    <row r="196">
      <c r="A196" s="19">
        <v>195.0</v>
      </c>
      <c r="B196" s="8">
        <v>671.0</v>
      </c>
      <c r="C196" s="118" t="s">
        <v>1084</v>
      </c>
      <c r="D196" s="8" t="s">
        <v>687</v>
      </c>
      <c r="E196" s="127">
        <v>46016.0</v>
      </c>
      <c r="F196" s="8" t="s">
        <v>233</v>
      </c>
      <c r="G196" s="12" t="s">
        <v>14</v>
      </c>
      <c r="H196" s="30"/>
    </row>
    <row r="197">
      <c r="A197" s="19">
        <v>196.0</v>
      </c>
      <c r="B197" s="8">
        <v>672.0</v>
      </c>
      <c r="C197" s="69" t="s">
        <v>1088</v>
      </c>
      <c r="D197" s="8" t="s">
        <v>1089</v>
      </c>
      <c r="E197" s="59">
        <v>46016.0</v>
      </c>
      <c r="F197" s="8" t="s">
        <v>1090</v>
      </c>
      <c r="G197" s="12" t="s">
        <v>33</v>
      </c>
      <c r="H197" s="30"/>
    </row>
    <row r="198">
      <c r="A198" s="19">
        <v>197.0</v>
      </c>
      <c r="B198" s="8">
        <v>673.0</v>
      </c>
      <c r="C198" s="8" t="s">
        <v>1091</v>
      </c>
      <c r="D198" s="8" t="s">
        <v>1093</v>
      </c>
      <c r="E198" s="8" t="s">
        <v>1094</v>
      </c>
      <c r="F198" s="8" t="s">
        <v>112</v>
      </c>
      <c r="G198" s="12" t="s">
        <v>33</v>
      </c>
      <c r="H198" s="30"/>
    </row>
    <row r="199">
      <c r="A199" s="19">
        <v>198.0</v>
      </c>
      <c r="B199" s="8">
        <v>674.0</v>
      </c>
      <c r="C199" s="8" t="s">
        <v>1096</v>
      </c>
      <c r="D199" s="8" t="s">
        <v>1098</v>
      </c>
      <c r="E199" s="8" t="s">
        <v>1099</v>
      </c>
      <c r="F199" s="8" t="s">
        <v>233</v>
      </c>
      <c r="G199" s="12" t="s">
        <v>14</v>
      </c>
      <c r="H199" s="30"/>
    </row>
    <row r="200">
      <c r="A200" s="19">
        <v>199.0</v>
      </c>
      <c r="B200" s="8">
        <v>675.0</v>
      </c>
      <c r="C200" s="8" t="s">
        <v>1103</v>
      </c>
      <c r="D200" s="8" t="s">
        <v>1104</v>
      </c>
      <c r="E200" s="69" t="s">
        <v>1105</v>
      </c>
      <c r="F200" s="8" t="s">
        <v>112</v>
      </c>
      <c r="G200" s="12" t="s">
        <v>33</v>
      </c>
      <c r="H200" s="30"/>
    </row>
    <row r="201">
      <c r="A201" s="19">
        <v>200.0</v>
      </c>
      <c r="B201" s="8">
        <v>676.0</v>
      </c>
      <c r="C201" s="8" t="s">
        <v>1107</v>
      </c>
      <c r="D201" s="8" t="s">
        <v>1110</v>
      </c>
      <c r="E201" s="8" t="s">
        <v>1111</v>
      </c>
      <c r="F201" s="8" t="s">
        <v>233</v>
      </c>
      <c r="G201" s="12" t="s">
        <v>14</v>
      </c>
      <c r="H201" s="30"/>
    </row>
    <row r="202">
      <c r="A202" s="19">
        <v>201.0</v>
      </c>
      <c r="B202" s="8">
        <v>677.0</v>
      </c>
      <c r="C202" s="8" t="s">
        <v>1114</v>
      </c>
      <c r="D202" s="8" t="s">
        <v>1116</v>
      </c>
      <c r="E202" s="59">
        <v>46018.0</v>
      </c>
      <c r="F202" s="8" t="s">
        <v>1117</v>
      </c>
      <c r="G202" s="12" t="s">
        <v>33</v>
      </c>
      <c r="H202" s="30"/>
    </row>
    <row r="203">
      <c r="A203" s="19">
        <v>202.0</v>
      </c>
      <c r="B203" s="8">
        <v>678.0</v>
      </c>
      <c r="C203" s="8" t="s">
        <v>1118</v>
      </c>
      <c r="D203" s="8" t="s">
        <v>1120</v>
      </c>
      <c r="E203" s="59">
        <v>46018.0</v>
      </c>
      <c r="F203" s="8" t="s">
        <v>1123</v>
      </c>
      <c r="G203" s="12" t="s">
        <v>31</v>
      </c>
      <c r="H203" s="30"/>
    </row>
    <row r="204">
      <c r="A204" s="19">
        <v>203.0</v>
      </c>
      <c r="B204" s="8">
        <v>679.0</v>
      </c>
      <c r="C204" s="8" t="s">
        <v>907</v>
      </c>
      <c r="D204" s="8" t="s">
        <v>908</v>
      </c>
      <c r="E204" s="8" t="s">
        <v>1126</v>
      </c>
      <c r="F204" s="8" t="s">
        <v>233</v>
      </c>
      <c r="G204" s="12" t="s">
        <v>14</v>
      </c>
      <c r="H204" s="30"/>
    </row>
    <row r="205">
      <c r="A205" s="19">
        <v>204.0</v>
      </c>
      <c r="B205" s="8">
        <v>680.0</v>
      </c>
      <c r="C205" s="8" t="s">
        <v>1128</v>
      </c>
      <c r="D205" s="8" t="s">
        <v>1006</v>
      </c>
      <c r="E205" s="69" t="s">
        <v>1130</v>
      </c>
      <c r="F205" s="8" t="s">
        <v>96</v>
      </c>
      <c r="G205" s="12" t="s">
        <v>33</v>
      </c>
      <c r="H205" s="30"/>
    </row>
    <row r="206">
      <c r="A206" s="19">
        <v>205.0</v>
      </c>
      <c r="B206" s="8">
        <v>681.0</v>
      </c>
      <c r="C206" s="8" t="s">
        <v>1131</v>
      </c>
      <c r="D206" s="8" t="s">
        <v>1132</v>
      </c>
      <c r="E206" s="59">
        <v>46019.0</v>
      </c>
      <c r="F206" s="8" t="s">
        <v>244</v>
      </c>
      <c r="G206" s="12" t="s">
        <v>14</v>
      </c>
      <c r="H206" s="30"/>
    </row>
    <row r="207">
      <c r="A207" s="19">
        <v>206.0</v>
      </c>
      <c r="B207" s="8">
        <v>682.0</v>
      </c>
      <c r="C207" s="8" t="s">
        <v>782</v>
      </c>
      <c r="D207" s="8" t="s">
        <v>1137</v>
      </c>
      <c r="E207" s="145" t="s">
        <v>1138</v>
      </c>
      <c r="F207" s="8" t="s">
        <v>244</v>
      </c>
      <c r="G207" s="12" t="s">
        <v>33</v>
      </c>
      <c r="H207" s="30"/>
    </row>
    <row r="208">
      <c r="A208" s="19">
        <v>208.0</v>
      </c>
      <c r="B208" s="8">
        <v>683.0</v>
      </c>
      <c r="C208" s="8" t="s">
        <v>1140</v>
      </c>
      <c r="D208" s="8" t="s">
        <v>1142</v>
      </c>
      <c r="E208" s="8" t="s">
        <v>1143</v>
      </c>
      <c r="F208" s="8" t="s">
        <v>244</v>
      </c>
      <c r="G208" s="12" t="s">
        <v>14</v>
      </c>
      <c r="H208" s="30"/>
    </row>
    <row r="209">
      <c r="A209" s="19">
        <v>209.0</v>
      </c>
      <c r="B209" s="8">
        <v>684.0</v>
      </c>
      <c r="C209" s="89" t="s">
        <v>1147</v>
      </c>
      <c r="D209" s="8" t="s">
        <v>1148</v>
      </c>
      <c r="E209" s="59">
        <v>46021.0</v>
      </c>
      <c r="F209" s="8" t="s">
        <v>1149</v>
      </c>
      <c r="G209" s="12" t="s">
        <v>14</v>
      </c>
      <c r="H209" s="30"/>
    </row>
    <row r="210">
      <c r="A210" s="19">
        <v>210.0</v>
      </c>
      <c r="B210" s="8">
        <v>685.0</v>
      </c>
      <c r="C210" s="89" t="s">
        <v>158</v>
      </c>
      <c r="D210" s="8" t="s">
        <v>1152</v>
      </c>
      <c r="E210" s="59">
        <v>46023.0</v>
      </c>
      <c r="F210" s="8" t="s">
        <v>1149</v>
      </c>
      <c r="G210" s="12" t="s">
        <v>14</v>
      </c>
      <c r="H210" s="30"/>
    </row>
    <row r="211">
      <c r="A211" s="19">
        <v>211.0</v>
      </c>
      <c r="B211" s="8">
        <v>686.0</v>
      </c>
      <c r="C211" s="89" t="s">
        <v>1155</v>
      </c>
      <c r="D211" s="8" t="s">
        <v>1157</v>
      </c>
      <c r="E211" s="79" t="s">
        <v>1158</v>
      </c>
      <c r="F211" s="8" t="s">
        <v>414</v>
      </c>
      <c r="G211" s="12" t="s">
        <v>14</v>
      </c>
      <c r="H211" s="30"/>
    </row>
    <row r="212">
      <c r="A212" s="19">
        <v>212.0</v>
      </c>
      <c r="B212" s="8">
        <v>687.0</v>
      </c>
      <c r="C212" s="89" t="s">
        <v>1160</v>
      </c>
      <c r="D212" s="8" t="s">
        <v>1161</v>
      </c>
      <c r="E212" s="79" t="s">
        <v>1162</v>
      </c>
      <c r="F212" s="8" t="s">
        <v>414</v>
      </c>
      <c r="G212" s="12" t="s">
        <v>14</v>
      </c>
      <c r="H212" s="30"/>
    </row>
    <row r="213">
      <c r="A213" s="19">
        <v>213.0</v>
      </c>
      <c r="B213" s="8">
        <v>688.0</v>
      </c>
      <c r="C213" s="69" t="s">
        <v>1166</v>
      </c>
      <c r="D213" s="8" t="s">
        <v>1168</v>
      </c>
      <c r="E213" s="59">
        <v>46039.0</v>
      </c>
      <c r="F213" s="8" t="s">
        <v>1169</v>
      </c>
      <c r="G213" s="12" t="s">
        <v>33</v>
      </c>
      <c r="H213" s="30"/>
    </row>
    <row r="214">
      <c r="A214" s="19">
        <v>214.0</v>
      </c>
      <c r="B214" s="8">
        <v>689.0</v>
      </c>
      <c r="C214" s="8" t="s">
        <v>469</v>
      </c>
      <c r="D214" s="8" t="s">
        <v>1172</v>
      </c>
      <c r="E214" s="8" t="s">
        <v>1173</v>
      </c>
      <c r="F214" s="8" t="s">
        <v>1149</v>
      </c>
      <c r="G214" s="12" t="s">
        <v>14</v>
      </c>
      <c r="H214" s="30"/>
    </row>
    <row r="215">
      <c r="A215" s="19">
        <v>215.0</v>
      </c>
      <c r="B215" s="8">
        <v>690.0</v>
      </c>
      <c r="C215" s="89" t="s">
        <v>1176</v>
      </c>
      <c r="D215" s="8" t="s">
        <v>1178</v>
      </c>
      <c r="E215" s="81" t="s">
        <v>1048</v>
      </c>
      <c r="F215" s="8" t="s">
        <v>414</v>
      </c>
      <c r="G215" s="12" t="s">
        <v>14</v>
      </c>
      <c r="H215" s="30"/>
    </row>
    <row r="216">
      <c r="A216" s="19">
        <v>216.0</v>
      </c>
      <c r="B216" s="8">
        <v>691.0</v>
      </c>
      <c r="C216" s="8" t="s">
        <v>1179</v>
      </c>
      <c r="D216" s="8" t="s">
        <v>475</v>
      </c>
      <c r="E216" s="8" t="s">
        <v>1182</v>
      </c>
      <c r="F216" s="8" t="s">
        <v>414</v>
      </c>
      <c r="G216" s="12" t="s">
        <v>14</v>
      </c>
      <c r="H216" s="30"/>
    </row>
    <row r="217">
      <c r="A217" s="19">
        <v>217.0</v>
      </c>
      <c r="B217" s="8">
        <v>692.0</v>
      </c>
      <c r="C217" s="8" t="s">
        <v>1186</v>
      </c>
      <c r="D217" s="8" t="s">
        <v>1188</v>
      </c>
      <c r="E217" s="59">
        <v>46023.0</v>
      </c>
      <c r="F217" s="8" t="s">
        <v>1190</v>
      </c>
      <c r="G217" s="12" t="s">
        <v>33</v>
      </c>
      <c r="H217" s="30"/>
    </row>
    <row r="218">
      <c r="A218" s="19">
        <v>218.0</v>
      </c>
      <c r="B218" s="8">
        <v>693.0</v>
      </c>
      <c r="C218" s="8" t="s">
        <v>1192</v>
      </c>
      <c r="D218" s="8" t="s">
        <v>1194</v>
      </c>
      <c r="E218" s="8" t="s">
        <v>1195</v>
      </c>
      <c r="F218" s="8" t="s">
        <v>244</v>
      </c>
      <c r="G218" s="12" t="s">
        <v>14</v>
      </c>
      <c r="H218" s="30"/>
    </row>
    <row r="219">
      <c r="A219" s="19">
        <v>219.0</v>
      </c>
      <c r="B219" s="8">
        <v>694.0</v>
      </c>
      <c r="C219" s="8" t="s">
        <v>1199</v>
      </c>
      <c r="D219" s="8" t="s">
        <v>1200</v>
      </c>
      <c r="E219" s="59">
        <v>46026.0</v>
      </c>
      <c r="F219" s="8" t="s">
        <v>1201</v>
      </c>
      <c r="G219" s="12" t="s">
        <v>31</v>
      </c>
      <c r="H219" s="30"/>
    </row>
    <row r="220">
      <c r="A220" s="19">
        <v>220.0</v>
      </c>
      <c r="B220" s="8">
        <v>695.0</v>
      </c>
      <c r="C220" s="8" t="s">
        <v>158</v>
      </c>
      <c r="D220" s="8" t="s">
        <v>1207</v>
      </c>
      <c r="E220" s="69" t="s">
        <v>1208</v>
      </c>
      <c r="F220" s="8" t="s">
        <v>1149</v>
      </c>
      <c r="G220" s="12" t="s">
        <v>33</v>
      </c>
      <c r="H220" s="30"/>
    </row>
    <row r="221">
      <c r="A221" s="19">
        <v>221.0</v>
      </c>
      <c r="B221" s="8">
        <v>696.0</v>
      </c>
      <c r="C221" s="8" t="s">
        <v>1209</v>
      </c>
      <c r="D221" s="8" t="s">
        <v>1210</v>
      </c>
      <c r="E221" s="8" t="s">
        <v>1211</v>
      </c>
      <c r="F221" s="8" t="s">
        <v>1149</v>
      </c>
      <c r="G221" s="12" t="s">
        <v>33</v>
      </c>
      <c r="H221" s="30"/>
    </row>
    <row r="222">
      <c r="A222" s="19">
        <v>222.0</v>
      </c>
      <c r="B222" s="8">
        <v>697.0</v>
      </c>
      <c r="C222" s="8" t="s">
        <v>1212</v>
      </c>
      <c r="D222" s="8" t="s">
        <v>1213</v>
      </c>
      <c r="E222" s="8" t="s">
        <v>1215</v>
      </c>
      <c r="F222" s="8" t="s">
        <v>244</v>
      </c>
      <c r="G222" s="12" t="s">
        <v>14</v>
      </c>
      <c r="H222" s="30"/>
    </row>
    <row r="223">
      <c r="A223" s="19">
        <v>223.0</v>
      </c>
      <c r="B223" s="8">
        <v>698.0</v>
      </c>
      <c r="C223" s="8" t="s">
        <v>686</v>
      </c>
      <c r="D223" s="8" t="s">
        <v>1220</v>
      </c>
      <c r="E223" s="8" t="s">
        <v>1215</v>
      </c>
      <c r="F223" s="8" t="s">
        <v>244</v>
      </c>
      <c r="G223" s="12" t="s">
        <v>14</v>
      </c>
      <c r="H223" s="30"/>
    </row>
    <row r="224">
      <c r="A224" s="19">
        <v>224.0</v>
      </c>
      <c r="B224" s="8">
        <v>699.0</v>
      </c>
      <c r="C224" s="8" t="s">
        <v>1224</v>
      </c>
      <c r="D224" s="8" t="s">
        <v>1225</v>
      </c>
      <c r="E224" s="59">
        <v>46025.0</v>
      </c>
      <c r="F224" s="8" t="s">
        <v>1228</v>
      </c>
      <c r="G224" s="12" t="s">
        <v>14</v>
      </c>
      <c r="H224" s="30"/>
    </row>
    <row r="225">
      <c r="A225" s="19">
        <v>225.0</v>
      </c>
      <c r="B225" s="8">
        <v>700.0</v>
      </c>
      <c r="C225" s="8" t="s">
        <v>82</v>
      </c>
      <c r="D225" s="8" t="s">
        <v>1230</v>
      </c>
      <c r="E225" s="59">
        <v>46032.0</v>
      </c>
      <c r="F225" s="8" t="s">
        <v>1231</v>
      </c>
      <c r="G225" s="12" t="s">
        <v>33</v>
      </c>
      <c r="H225" s="30"/>
    </row>
    <row r="226">
      <c r="A226" s="19">
        <v>226.0</v>
      </c>
      <c r="B226" s="8">
        <v>701.0</v>
      </c>
      <c r="C226" s="8" t="s">
        <v>1233</v>
      </c>
      <c r="D226" s="8" t="s">
        <v>367</v>
      </c>
      <c r="E226" s="59">
        <v>46026.0</v>
      </c>
      <c r="F226" s="8" t="s">
        <v>1234</v>
      </c>
      <c r="G226" s="12" t="s">
        <v>31</v>
      </c>
      <c r="H226" s="30"/>
    </row>
    <row r="227">
      <c r="A227" s="19">
        <v>227.0</v>
      </c>
      <c r="B227" s="47"/>
      <c r="C227" s="47"/>
      <c r="D227" s="47"/>
      <c r="E227" s="47"/>
      <c r="F227" s="47"/>
      <c r="G227" s="12"/>
      <c r="H227" s="30"/>
    </row>
    <row r="228">
      <c r="A228" s="19">
        <v>228.0</v>
      </c>
      <c r="B228" s="47"/>
      <c r="C228" s="47"/>
      <c r="D228" s="47"/>
      <c r="E228" s="47"/>
      <c r="F228" s="47"/>
      <c r="G228" s="12"/>
      <c r="H228" s="30"/>
    </row>
    <row r="229">
      <c r="A229" s="19">
        <v>229.0</v>
      </c>
      <c r="B229" s="47"/>
      <c r="C229" s="47"/>
      <c r="D229" s="47"/>
      <c r="E229" s="47"/>
      <c r="F229" s="47"/>
      <c r="G229" s="12"/>
      <c r="H229" s="30"/>
    </row>
    <row r="230">
      <c r="A230" s="19">
        <v>230.0</v>
      </c>
      <c r="B230" s="47"/>
      <c r="C230" s="47"/>
      <c r="D230" s="47"/>
      <c r="E230" s="47"/>
      <c r="F230" s="47"/>
      <c r="G230" s="12"/>
      <c r="H230" s="30"/>
    </row>
    <row r="231">
      <c r="A231" s="19">
        <v>231.0</v>
      </c>
      <c r="B231" s="47"/>
      <c r="C231" s="47"/>
      <c r="D231" s="47"/>
      <c r="E231" s="47"/>
      <c r="F231" s="47"/>
      <c r="G231" s="12"/>
      <c r="H231" s="30"/>
    </row>
    <row r="232">
      <c r="A232" s="19">
        <v>232.0</v>
      </c>
      <c r="B232" s="47"/>
      <c r="C232" s="47"/>
      <c r="D232" s="47"/>
      <c r="E232" s="47"/>
      <c r="F232" s="47"/>
      <c r="G232" s="12"/>
      <c r="H232" s="30"/>
    </row>
    <row r="233">
      <c r="A233" s="19">
        <v>233.0</v>
      </c>
      <c r="B233" s="47"/>
      <c r="C233" s="47"/>
      <c r="D233" s="47"/>
      <c r="E233" s="47"/>
      <c r="F233" s="47"/>
      <c r="G233" s="12"/>
      <c r="H233" s="30"/>
    </row>
    <row r="234">
      <c r="A234" s="19">
        <v>234.0</v>
      </c>
      <c r="B234" s="47"/>
      <c r="C234" s="47"/>
      <c r="D234" s="47"/>
      <c r="E234" s="47"/>
      <c r="F234" s="47"/>
      <c r="G234" s="12"/>
      <c r="H234" s="30"/>
    </row>
    <row r="235">
      <c r="A235" s="19">
        <v>235.0</v>
      </c>
      <c r="B235" s="47"/>
      <c r="C235" s="47"/>
      <c r="D235" s="47"/>
      <c r="E235" s="47"/>
      <c r="F235" s="47"/>
      <c r="G235" s="12"/>
      <c r="H235" s="30"/>
    </row>
    <row r="236">
      <c r="A236" s="19">
        <v>236.0</v>
      </c>
      <c r="B236" s="47"/>
      <c r="C236" s="47"/>
      <c r="D236" s="47"/>
      <c r="E236" s="47"/>
      <c r="F236" s="47"/>
      <c r="G236" s="12"/>
      <c r="H236" s="30"/>
    </row>
    <row r="237">
      <c r="A237" s="19">
        <v>237.0</v>
      </c>
      <c r="B237" s="47"/>
      <c r="C237" s="47"/>
      <c r="D237" s="47"/>
      <c r="E237" s="47"/>
      <c r="F237" s="47"/>
      <c r="G237" s="12"/>
      <c r="H237" s="30"/>
    </row>
    <row r="238">
      <c r="A238" s="19">
        <v>238.0</v>
      </c>
      <c r="B238" s="47"/>
      <c r="C238" s="47"/>
      <c r="D238" s="47"/>
      <c r="E238" s="47"/>
      <c r="F238" s="47"/>
      <c r="G238" s="12"/>
      <c r="H238" s="30"/>
    </row>
    <row r="239">
      <c r="A239" s="19">
        <v>239.0</v>
      </c>
      <c r="B239" s="47"/>
      <c r="C239" s="47"/>
      <c r="D239" s="47"/>
      <c r="E239" s="47"/>
      <c r="F239" s="47"/>
      <c r="G239" s="12"/>
      <c r="H239" s="30"/>
    </row>
    <row r="240">
      <c r="A240" s="19">
        <v>240.0</v>
      </c>
      <c r="B240" s="47"/>
      <c r="C240" s="47"/>
      <c r="D240" s="47"/>
      <c r="E240" s="47"/>
      <c r="F240" s="47"/>
      <c r="G240" s="12"/>
      <c r="H240" s="30"/>
    </row>
    <row r="241">
      <c r="A241" s="19">
        <v>241.0</v>
      </c>
      <c r="B241" s="47"/>
      <c r="C241" s="47"/>
      <c r="D241" s="47"/>
      <c r="E241" s="47"/>
      <c r="F241" s="47"/>
      <c r="G241" s="12"/>
      <c r="H241" s="30"/>
    </row>
    <row r="242">
      <c r="A242" s="19">
        <v>242.0</v>
      </c>
      <c r="B242" s="47"/>
      <c r="C242" s="47"/>
      <c r="D242" s="47"/>
      <c r="E242" s="47"/>
      <c r="F242" s="47"/>
      <c r="G242" s="12"/>
      <c r="H242" s="30"/>
    </row>
    <row r="243">
      <c r="A243" s="19">
        <v>243.0</v>
      </c>
      <c r="B243" s="47"/>
      <c r="C243" s="47"/>
      <c r="D243" s="47"/>
      <c r="E243" s="47"/>
      <c r="F243" s="47"/>
      <c r="G243" s="12"/>
      <c r="H243" s="30"/>
    </row>
    <row r="244">
      <c r="A244" s="19">
        <v>244.0</v>
      </c>
      <c r="B244" s="47"/>
      <c r="C244" s="47"/>
      <c r="D244" s="47"/>
      <c r="E244" s="47"/>
      <c r="F244" s="47"/>
      <c r="G244" s="12"/>
      <c r="H244" s="30"/>
    </row>
    <row r="245">
      <c r="A245" s="19">
        <v>245.0</v>
      </c>
      <c r="B245" s="47"/>
      <c r="C245" s="47"/>
      <c r="D245" s="47"/>
      <c r="E245" s="47"/>
      <c r="F245" s="47"/>
      <c r="G245" s="12"/>
      <c r="H245" s="30"/>
    </row>
    <row r="246">
      <c r="A246" s="19">
        <v>246.0</v>
      </c>
      <c r="B246" s="47"/>
      <c r="C246" s="47"/>
      <c r="D246" s="47"/>
      <c r="E246" s="47"/>
      <c r="F246" s="47"/>
      <c r="G246" s="12"/>
      <c r="H246" s="30"/>
    </row>
    <row r="247">
      <c r="A247" s="19">
        <v>247.0</v>
      </c>
      <c r="B247" s="47"/>
      <c r="C247" s="47"/>
      <c r="D247" s="47"/>
      <c r="E247" s="47"/>
      <c r="F247" s="47"/>
      <c r="G247" s="12"/>
      <c r="H247" s="30"/>
    </row>
    <row r="248">
      <c r="A248" s="19">
        <v>248.0</v>
      </c>
      <c r="B248" s="47"/>
      <c r="C248" s="47"/>
      <c r="D248" s="47"/>
      <c r="E248" s="47"/>
      <c r="F248" s="47"/>
      <c r="G248" s="12"/>
      <c r="H248" s="30"/>
    </row>
    <row r="249">
      <c r="A249" s="19">
        <v>249.0</v>
      </c>
      <c r="B249" s="47"/>
      <c r="C249" s="47"/>
      <c r="D249" s="47"/>
      <c r="E249" s="47"/>
      <c r="F249" s="47"/>
      <c r="G249" s="12"/>
      <c r="H249" s="30"/>
    </row>
    <row r="250">
      <c r="A250" s="19">
        <v>250.0</v>
      </c>
      <c r="B250" s="47"/>
      <c r="C250" s="47"/>
      <c r="D250" s="47"/>
      <c r="E250" s="47"/>
      <c r="F250" s="47"/>
      <c r="G250" s="12"/>
      <c r="H250" s="30"/>
    </row>
    <row r="251">
      <c r="A251" s="19">
        <v>251.0</v>
      </c>
      <c r="B251" s="47"/>
      <c r="C251" s="47"/>
      <c r="D251" s="47"/>
      <c r="E251" s="47"/>
      <c r="F251" s="47"/>
      <c r="G251" s="12"/>
      <c r="H251" s="30"/>
    </row>
    <row r="252">
      <c r="A252" s="19">
        <v>252.0</v>
      </c>
      <c r="B252" s="47"/>
      <c r="C252" s="47"/>
      <c r="D252" s="47"/>
      <c r="E252" s="47"/>
      <c r="F252" s="47"/>
      <c r="G252" s="12"/>
      <c r="H252" s="30"/>
    </row>
    <row r="253">
      <c r="A253" s="19">
        <v>253.0</v>
      </c>
      <c r="B253" s="47"/>
      <c r="C253" s="47"/>
      <c r="D253" s="47"/>
      <c r="E253" s="47"/>
      <c r="F253" s="47"/>
      <c r="G253" s="12"/>
      <c r="H253" s="30"/>
    </row>
    <row r="254">
      <c r="A254" s="19">
        <v>254.0</v>
      </c>
      <c r="B254" s="47"/>
      <c r="C254" s="47"/>
      <c r="D254" s="47"/>
      <c r="E254" s="47"/>
      <c r="F254" s="47"/>
      <c r="G254" s="12"/>
      <c r="H254" s="30"/>
    </row>
    <row r="255">
      <c r="A255" s="19">
        <v>255.0</v>
      </c>
      <c r="B255" s="47"/>
      <c r="C255" s="47"/>
      <c r="D255" s="47"/>
      <c r="E255" s="47"/>
      <c r="F255" s="47"/>
      <c r="G255" s="12"/>
      <c r="H255" s="30"/>
    </row>
    <row r="256">
      <c r="A256" s="19">
        <v>256.0</v>
      </c>
      <c r="B256" s="47"/>
      <c r="C256" s="47"/>
      <c r="D256" s="47"/>
      <c r="E256" s="47"/>
      <c r="F256" s="47"/>
      <c r="G256" s="12"/>
      <c r="H256" s="30"/>
    </row>
    <row r="257">
      <c r="A257" s="19">
        <v>257.0</v>
      </c>
      <c r="B257" s="47"/>
      <c r="C257" s="47"/>
      <c r="D257" s="47"/>
      <c r="E257" s="47"/>
      <c r="F257" s="47"/>
      <c r="G257" s="12"/>
      <c r="H257" s="30"/>
    </row>
    <row r="258">
      <c r="A258" s="19">
        <v>258.0</v>
      </c>
      <c r="B258" s="47"/>
      <c r="C258" s="47"/>
      <c r="D258" s="47"/>
      <c r="E258" s="47"/>
      <c r="F258" s="47"/>
      <c r="G258" s="12"/>
      <c r="H258" s="30"/>
    </row>
    <row r="259">
      <c r="A259" s="19">
        <v>259.0</v>
      </c>
      <c r="B259" s="47"/>
      <c r="C259" s="47"/>
      <c r="D259" s="47"/>
      <c r="E259" s="47"/>
      <c r="F259" s="47"/>
      <c r="G259" s="12"/>
      <c r="H259" s="30"/>
    </row>
    <row r="260">
      <c r="A260" s="19">
        <v>260.0</v>
      </c>
      <c r="B260" s="47"/>
      <c r="C260" s="47"/>
      <c r="D260" s="47"/>
      <c r="E260" s="47"/>
      <c r="F260" s="47"/>
      <c r="G260" s="12"/>
      <c r="H260" s="30"/>
    </row>
    <row r="261">
      <c r="A261" s="19">
        <v>261.0</v>
      </c>
      <c r="B261" s="47"/>
      <c r="C261" s="47"/>
      <c r="D261" s="47"/>
      <c r="E261" s="47"/>
      <c r="F261" s="47"/>
      <c r="G261" s="12"/>
      <c r="H261" s="30"/>
    </row>
    <row r="262">
      <c r="A262" s="19">
        <v>262.0</v>
      </c>
      <c r="B262" s="47"/>
      <c r="C262" s="47"/>
      <c r="D262" s="47"/>
      <c r="E262" s="47"/>
      <c r="F262" s="47"/>
      <c r="G262" s="12"/>
      <c r="H262" s="30"/>
    </row>
    <row r="263">
      <c r="A263" s="19">
        <v>263.0</v>
      </c>
      <c r="B263" s="47"/>
      <c r="C263" s="47"/>
      <c r="D263" s="47"/>
      <c r="E263" s="47"/>
      <c r="F263" s="47"/>
      <c r="G263" s="12"/>
      <c r="H263" s="30"/>
    </row>
    <row r="264">
      <c r="A264" s="19">
        <v>264.0</v>
      </c>
      <c r="B264" s="47"/>
      <c r="C264" s="47"/>
      <c r="D264" s="47"/>
      <c r="E264" s="47"/>
      <c r="F264" s="47"/>
      <c r="G264" s="12"/>
      <c r="H264" s="30"/>
    </row>
    <row r="265">
      <c r="A265" s="19">
        <v>265.0</v>
      </c>
      <c r="B265" s="47"/>
      <c r="C265" s="47"/>
      <c r="D265" s="47"/>
      <c r="E265" s="47"/>
      <c r="F265" s="47"/>
      <c r="G265" s="12"/>
      <c r="H265" s="30"/>
    </row>
    <row r="266">
      <c r="A266" s="19">
        <v>266.0</v>
      </c>
      <c r="B266" s="47"/>
      <c r="C266" s="47"/>
      <c r="D266" s="47"/>
      <c r="E266" s="47"/>
      <c r="F266" s="47"/>
      <c r="G266" s="12"/>
      <c r="H266" s="30"/>
    </row>
    <row r="267">
      <c r="A267" s="19">
        <v>267.0</v>
      </c>
      <c r="B267" s="47"/>
      <c r="C267" s="47"/>
      <c r="D267" s="47"/>
      <c r="E267" s="47"/>
      <c r="F267" s="47"/>
      <c r="G267" s="12"/>
      <c r="H267" s="30"/>
    </row>
    <row r="268">
      <c r="A268" s="19">
        <v>268.0</v>
      </c>
      <c r="B268" s="47"/>
      <c r="C268" s="47"/>
      <c r="D268" s="47"/>
      <c r="E268" s="47"/>
      <c r="F268" s="47"/>
      <c r="G268" s="12"/>
      <c r="H268" s="30"/>
    </row>
    <row r="269">
      <c r="A269" s="19">
        <v>269.0</v>
      </c>
      <c r="B269" s="47"/>
      <c r="C269" s="47"/>
      <c r="D269" s="47"/>
      <c r="E269" s="47"/>
      <c r="F269" s="47"/>
      <c r="G269" s="12"/>
      <c r="H269" s="30"/>
    </row>
    <row r="270">
      <c r="A270" s="19">
        <v>270.0</v>
      </c>
      <c r="B270" s="47"/>
      <c r="C270" s="47"/>
      <c r="D270" s="47"/>
      <c r="E270" s="47"/>
      <c r="F270" s="47"/>
      <c r="G270" s="12"/>
      <c r="H270" s="30"/>
    </row>
    <row r="271">
      <c r="A271" s="19">
        <v>271.0</v>
      </c>
      <c r="B271" s="47"/>
      <c r="C271" s="47"/>
      <c r="D271" s="47"/>
      <c r="E271" s="47"/>
      <c r="F271" s="47"/>
      <c r="G271" s="12"/>
      <c r="H271" s="30"/>
    </row>
    <row r="272">
      <c r="A272" s="19">
        <v>272.0</v>
      </c>
      <c r="B272" s="47"/>
      <c r="C272" s="47"/>
      <c r="D272" s="47"/>
      <c r="E272" s="47"/>
      <c r="F272" s="47"/>
      <c r="G272" s="12"/>
      <c r="H272" s="30"/>
    </row>
    <row r="273">
      <c r="A273" s="19">
        <v>273.0</v>
      </c>
      <c r="B273" s="47"/>
      <c r="C273" s="47"/>
      <c r="D273" s="47"/>
      <c r="E273" s="47"/>
      <c r="F273" s="47"/>
      <c r="G273" s="12"/>
      <c r="H273" s="30"/>
    </row>
    <row r="274">
      <c r="A274" s="19">
        <v>274.0</v>
      </c>
      <c r="B274" s="47"/>
      <c r="C274" s="47"/>
      <c r="D274" s="47"/>
      <c r="E274" s="47"/>
      <c r="F274" s="47"/>
      <c r="G274" s="12"/>
      <c r="H274" s="30"/>
    </row>
    <row r="275">
      <c r="A275" s="19">
        <v>275.0</v>
      </c>
      <c r="B275" s="47"/>
      <c r="C275" s="47"/>
      <c r="D275" s="47"/>
      <c r="E275" s="47"/>
      <c r="F275" s="47"/>
      <c r="G275" s="12"/>
      <c r="H275" s="30"/>
    </row>
    <row r="276">
      <c r="A276" s="19">
        <v>276.0</v>
      </c>
      <c r="B276" s="47"/>
      <c r="C276" s="47"/>
      <c r="D276" s="47"/>
      <c r="E276" s="47"/>
      <c r="F276" s="47"/>
      <c r="G276" s="12"/>
      <c r="H276" s="30"/>
    </row>
    <row r="277">
      <c r="A277" s="19">
        <v>277.0</v>
      </c>
      <c r="B277" s="47"/>
      <c r="C277" s="47"/>
      <c r="D277" s="47"/>
      <c r="E277" s="47"/>
      <c r="F277" s="47"/>
      <c r="G277" s="12"/>
      <c r="H277" s="30"/>
    </row>
    <row r="278">
      <c r="A278" s="19">
        <v>278.0</v>
      </c>
      <c r="B278" s="47"/>
      <c r="C278" s="47"/>
      <c r="D278" s="47"/>
      <c r="E278" s="47"/>
      <c r="F278" s="47"/>
      <c r="G278" s="12"/>
      <c r="H278" s="30"/>
    </row>
    <row r="279">
      <c r="A279" s="19">
        <v>279.0</v>
      </c>
      <c r="B279" s="47"/>
      <c r="C279" s="47"/>
      <c r="D279" s="47"/>
      <c r="E279" s="47"/>
      <c r="F279" s="47"/>
      <c r="G279" s="12"/>
      <c r="H279" s="30"/>
    </row>
    <row r="280">
      <c r="A280" s="19">
        <v>280.0</v>
      </c>
      <c r="B280" s="47"/>
      <c r="C280" s="47"/>
      <c r="D280" s="47"/>
      <c r="E280" s="47"/>
      <c r="F280" s="47"/>
      <c r="G280" s="12"/>
      <c r="H280" s="30"/>
    </row>
    <row r="281">
      <c r="A281" s="19">
        <v>281.0</v>
      </c>
      <c r="B281" s="47"/>
      <c r="C281" s="47"/>
      <c r="D281" s="47"/>
      <c r="E281" s="47"/>
      <c r="F281" s="47"/>
      <c r="G281" s="12"/>
      <c r="H281" s="30"/>
    </row>
    <row r="282">
      <c r="A282" s="19">
        <v>282.0</v>
      </c>
      <c r="B282" s="47"/>
      <c r="C282" s="47"/>
      <c r="D282" s="47"/>
      <c r="E282" s="47"/>
      <c r="F282" s="47"/>
      <c r="G282" s="12"/>
      <c r="H282" s="30"/>
    </row>
    <row r="283">
      <c r="A283" s="19">
        <v>283.0</v>
      </c>
      <c r="B283" s="47"/>
      <c r="C283" s="47"/>
      <c r="D283" s="47"/>
      <c r="E283" s="47"/>
      <c r="F283" s="47"/>
      <c r="G283" s="12"/>
      <c r="H283" s="30"/>
    </row>
    <row r="284">
      <c r="A284" s="19">
        <v>284.0</v>
      </c>
      <c r="B284" s="47"/>
      <c r="C284" s="47"/>
      <c r="D284" s="47"/>
      <c r="E284" s="47"/>
      <c r="F284" s="47"/>
      <c r="G284" s="12"/>
      <c r="H284" s="30"/>
    </row>
    <row r="285">
      <c r="A285" s="19">
        <v>285.0</v>
      </c>
      <c r="B285" s="47"/>
      <c r="C285" s="47"/>
      <c r="D285" s="47"/>
      <c r="E285" s="47"/>
      <c r="F285" s="47"/>
      <c r="G285" s="12"/>
      <c r="H285" s="30"/>
    </row>
    <row r="286">
      <c r="A286" s="19">
        <v>286.0</v>
      </c>
      <c r="B286" s="47"/>
      <c r="C286" s="47"/>
      <c r="D286" s="47"/>
      <c r="E286" s="47"/>
      <c r="F286" s="47"/>
      <c r="G286" s="12"/>
      <c r="H286" s="30"/>
    </row>
    <row r="287">
      <c r="A287" s="19">
        <v>287.0</v>
      </c>
      <c r="B287" s="47"/>
      <c r="C287" s="47"/>
      <c r="D287" s="47"/>
      <c r="E287" s="47"/>
      <c r="F287" s="47"/>
      <c r="G287" s="12"/>
      <c r="H287" s="30"/>
    </row>
    <row r="288">
      <c r="A288" s="19">
        <v>288.0</v>
      </c>
      <c r="B288" s="47"/>
      <c r="C288" s="47"/>
      <c r="D288" s="47"/>
      <c r="E288" s="47"/>
      <c r="F288" s="47"/>
      <c r="G288" s="12"/>
      <c r="H288" s="30"/>
    </row>
    <row r="289">
      <c r="A289" s="19">
        <v>289.0</v>
      </c>
      <c r="B289" s="47"/>
      <c r="C289" s="47"/>
      <c r="D289" s="47"/>
      <c r="E289" s="47"/>
      <c r="F289" s="47"/>
      <c r="G289" s="12"/>
      <c r="H289" s="30"/>
    </row>
    <row r="290">
      <c r="A290" s="19">
        <v>290.0</v>
      </c>
      <c r="B290" s="47"/>
      <c r="C290" s="47"/>
      <c r="D290" s="47"/>
      <c r="E290" s="47"/>
      <c r="F290" s="47"/>
      <c r="G290" s="12"/>
      <c r="H290" s="30"/>
    </row>
    <row r="291">
      <c r="A291" s="19">
        <v>291.0</v>
      </c>
      <c r="B291" s="47"/>
      <c r="C291" s="47"/>
      <c r="D291" s="47"/>
      <c r="E291" s="47"/>
      <c r="F291" s="47"/>
      <c r="G291" s="12"/>
      <c r="H291" s="30"/>
    </row>
    <row r="292">
      <c r="A292" s="19">
        <v>292.0</v>
      </c>
      <c r="B292" s="47"/>
      <c r="C292" s="47"/>
      <c r="D292" s="47"/>
      <c r="E292" s="47"/>
      <c r="F292" s="47"/>
      <c r="G292" s="12"/>
      <c r="H292" s="30"/>
    </row>
    <row r="293">
      <c r="A293" s="19">
        <v>293.0</v>
      </c>
      <c r="B293" s="47"/>
      <c r="C293" s="47"/>
      <c r="D293" s="47"/>
      <c r="E293" s="47"/>
      <c r="F293" s="47"/>
      <c r="G293" s="12"/>
      <c r="H293" s="30"/>
    </row>
    <row r="294">
      <c r="A294" s="19">
        <v>294.0</v>
      </c>
      <c r="B294" s="47"/>
      <c r="C294" s="47"/>
      <c r="D294" s="47"/>
      <c r="E294" s="47"/>
      <c r="F294" s="47"/>
      <c r="G294" s="30"/>
      <c r="H294" s="30"/>
    </row>
    <row r="295">
      <c r="A295" s="19">
        <v>295.0</v>
      </c>
      <c r="B295" s="47"/>
      <c r="C295" s="47"/>
      <c r="D295" s="47"/>
      <c r="E295" s="47"/>
      <c r="F295" s="47"/>
      <c r="G295" s="30"/>
      <c r="H295" s="30"/>
    </row>
    <row r="296">
      <c r="A296" s="19">
        <v>296.0</v>
      </c>
      <c r="B296" s="47"/>
      <c r="C296" s="47"/>
      <c r="D296" s="47"/>
      <c r="E296" s="47"/>
      <c r="F296" s="47"/>
      <c r="G296" s="30"/>
      <c r="H296" s="30"/>
    </row>
    <row r="297">
      <c r="A297" s="19">
        <v>297.0</v>
      </c>
      <c r="B297" s="47"/>
      <c r="C297" s="47"/>
      <c r="D297" s="47"/>
      <c r="E297" s="47"/>
      <c r="F297" s="47"/>
      <c r="G297" s="30"/>
      <c r="H297" s="30"/>
    </row>
    <row r="298">
      <c r="A298" s="19">
        <v>298.0</v>
      </c>
      <c r="B298" s="47"/>
      <c r="C298" s="47"/>
      <c r="D298" s="47"/>
      <c r="E298" s="47"/>
      <c r="F298" s="47"/>
      <c r="G298" s="30"/>
      <c r="H298" s="30"/>
    </row>
    <row r="299">
      <c r="A299" s="19">
        <v>299.0</v>
      </c>
      <c r="B299" s="47"/>
      <c r="C299" s="47"/>
      <c r="D299" s="47"/>
      <c r="E299" s="47"/>
      <c r="F299" s="47"/>
      <c r="G299" s="30"/>
      <c r="H299" s="30"/>
    </row>
    <row r="300">
      <c r="A300" s="19">
        <v>300.0</v>
      </c>
      <c r="B300" s="47"/>
      <c r="C300" s="47"/>
      <c r="D300" s="47"/>
      <c r="E300" s="47"/>
      <c r="F300" s="47"/>
      <c r="G300" s="30"/>
      <c r="H300" s="30"/>
    </row>
    <row r="301">
      <c r="A301" s="19">
        <v>301.0</v>
      </c>
      <c r="B301" s="47"/>
      <c r="C301" s="47"/>
      <c r="D301" s="47"/>
      <c r="E301" s="47"/>
      <c r="F301" s="47"/>
      <c r="G301" s="30"/>
      <c r="H301" s="30"/>
    </row>
    <row r="302">
      <c r="A302" s="19">
        <v>302.0</v>
      </c>
      <c r="B302" s="47"/>
      <c r="C302" s="47"/>
      <c r="D302" s="47"/>
      <c r="E302" s="47"/>
      <c r="F302" s="47"/>
      <c r="G302" s="30"/>
      <c r="H302" s="30"/>
    </row>
    <row r="303">
      <c r="A303" s="19">
        <v>303.0</v>
      </c>
      <c r="B303" s="47"/>
      <c r="C303" s="47"/>
      <c r="D303" s="47"/>
      <c r="E303" s="47"/>
      <c r="F303" s="47"/>
      <c r="G303" s="30"/>
      <c r="H303" s="30"/>
    </row>
    <row r="304">
      <c r="A304" s="19">
        <v>304.0</v>
      </c>
      <c r="B304" s="47"/>
      <c r="C304" s="47"/>
      <c r="D304" s="47"/>
      <c r="E304" s="47"/>
      <c r="F304" s="47"/>
      <c r="G304" s="30"/>
      <c r="H304" s="30"/>
    </row>
    <row r="305">
      <c r="A305" s="19">
        <v>305.0</v>
      </c>
      <c r="B305" s="47"/>
      <c r="C305" s="47"/>
      <c r="D305" s="47"/>
      <c r="E305" s="47"/>
      <c r="F305" s="47"/>
      <c r="G305" s="30"/>
      <c r="H305" s="30"/>
    </row>
    <row r="306">
      <c r="A306" s="19">
        <v>306.0</v>
      </c>
      <c r="B306" s="47"/>
      <c r="C306" s="47"/>
      <c r="D306" s="47"/>
      <c r="E306" s="47"/>
      <c r="F306" s="47"/>
      <c r="G306" s="30"/>
      <c r="H306" s="30"/>
    </row>
    <row r="307">
      <c r="A307" s="19">
        <v>307.0</v>
      </c>
      <c r="B307" s="47"/>
      <c r="C307" s="47"/>
      <c r="D307" s="47"/>
      <c r="E307" s="47"/>
      <c r="F307" s="47"/>
      <c r="G307" s="30"/>
      <c r="H307" s="30"/>
    </row>
    <row r="308">
      <c r="A308" s="19">
        <v>308.0</v>
      </c>
      <c r="B308" s="47"/>
      <c r="C308" s="47"/>
      <c r="D308" s="47"/>
      <c r="E308" s="47"/>
      <c r="F308" s="47"/>
      <c r="G308" s="30"/>
      <c r="H308" s="30"/>
    </row>
    <row r="309">
      <c r="A309" s="19">
        <v>309.0</v>
      </c>
      <c r="B309" s="47"/>
      <c r="C309" s="47"/>
      <c r="D309" s="47"/>
      <c r="E309" s="47"/>
      <c r="F309" s="47"/>
      <c r="G309" s="30"/>
      <c r="H309" s="30"/>
    </row>
    <row r="310">
      <c r="A310" s="19">
        <v>310.0</v>
      </c>
      <c r="B310" s="47"/>
      <c r="C310" s="47"/>
      <c r="D310" s="47"/>
      <c r="E310" s="47"/>
      <c r="F310" s="47"/>
      <c r="G310" s="30"/>
      <c r="H310" s="30"/>
    </row>
    <row r="311">
      <c r="A311" s="19">
        <v>311.0</v>
      </c>
      <c r="B311" s="47"/>
      <c r="C311" s="47"/>
      <c r="D311" s="47"/>
      <c r="E311" s="47"/>
      <c r="F311" s="47"/>
      <c r="G311" s="30"/>
      <c r="H311" s="30"/>
    </row>
    <row r="312">
      <c r="A312" s="19">
        <v>312.0</v>
      </c>
      <c r="B312" s="47"/>
      <c r="C312" s="47"/>
      <c r="D312" s="47"/>
      <c r="E312" s="47"/>
      <c r="F312" s="47"/>
      <c r="G312" s="30"/>
      <c r="H312" s="30"/>
    </row>
    <row r="313">
      <c r="A313" s="19">
        <v>313.0</v>
      </c>
      <c r="B313" s="47"/>
      <c r="C313" s="47"/>
      <c r="D313" s="47"/>
      <c r="E313" s="47"/>
      <c r="F313" s="47"/>
      <c r="G313" s="30"/>
      <c r="H313" s="30"/>
    </row>
    <row r="314">
      <c r="A314" s="19">
        <v>314.0</v>
      </c>
      <c r="B314" s="47"/>
      <c r="C314" s="47"/>
      <c r="D314" s="47"/>
      <c r="E314" s="47"/>
      <c r="F314" s="47"/>
      <c r="G314" s="30"/>
      <c r="H314" s="30"/>
    </row>
    <row r="315">
      <c r="A315" s="19">
        <v>315.0</v>
      </c>
      <c r="B315" s="47"/>
      <c r="C315" s="47"/>
      <c r="D315" s="47"/>
      <c r="E315" s="47"/>
      <c r="F315" s="47"/>
      <c r="G315" s="30"/>
      <c r="H315" s="30"/>
    </row>
    <row r="316">
      <c r="A316" s="19">
        <v>316.0</v>
      </c>
      <c r="B316" s="47"/>
      <c r="C316" s="47"/>
      <c r="D316" s="47"/>
      <c r="E316" s="47"/>
      <c r="F316" s="47"/>
      <c r="G316" s="30"/>
      <c r="H316" s="30"/>
    </row>
    <row r="317">
      <c r="A317" s="19">
        <v>317.0</v>
      </c>
      <c r="B317" s="47"/>
      <c r="C317" s="47"/>
      <c r="D317" s="47"/>
      <c r="E317" s="47"/>
      <c r="F317" s="47"/>
      <c r="G317" s="30"/>
      <c r="H317" s="30"/>
    </row>
    <row r="318">
      <c r="A318" s="19">
        <v>318.0</v>
      </c>
      <c r="B318" s="47"/>
      <c r="C318" s="47"/>
      <c r="D318" s="47"/>
      <c r="E318" s="47"/>
      <c r="F318" s="47"/>
      <c r="G318" s="30"/>
      <c r="H318" s="30"/>
    </row>
    <row r="319">
      <c r="A319" s="19">
        <v>319.0</v>
      </c>
      <c r="B319" s="47"/>
      <c r="C319" s="47"/>
      <c r="D319" s="47"/>
      <c r="E319" s="47"/>
      <c r="F319" s="47"/>
      <c r="G319" s="30"/>
      <c r="H319" s="30"/>
    </row>
    <row r="320">
      <c r="A320" s="19">
        <v>320.0</v>
      </c>
      <c r="B320" s="47"/>
      <c r="C320" s="47"/>
      <c r="D320" s="47"/>
      <c r="E320" s="47"/>
      <c r="F320" s="47"/>
      <c r="G320" s="30"/>
      <c r="H320" s="30"/>
    </row>
    <row r="321">
      <c r="A321" s="19">
        <v>321.0</v>
      </c>
      <c r="B321" s="47"/>
      <c r="C321" s="47"/>
      <c r="D321" s="47"/>
      <c r="E321" s="47"/>
      <c r="F321" s="47"/>
      <c r="G321" s="30"/>
      <c r="H321" s="30"/>
    </row>
    <row r="322">
      <c r="A322" s="19">
        <v>322.0</v>
      </c>
      <c r="B322" s="47"/>
      <c r="C322" s="47"/>
      <c r="D322" s="47"/>
      <c r="E322" s="47"/>
      <c r="F322" s="47"/>
      <c r="G322" s="30"/>
      <c r="H322" s="30"/>
    </row>
    <row r="323">
      <c r="A323" s="19">
        <v>323.0</v>
      </c>
      <c r="B323" s="47"/>
      <c r="C323" s="47"/>
      <c r="D323" s="47"/>
      <c r="E323" s="47"/>
      <c r="F323" s="47"/>
      <c r="G323" s="30"/>
      <c r="H323" s="30"/>
    </row>
    <row r="324">
      <c r="A324" s="19">
        <v>324.0</v>
      </c>
      <c r="B324" s="47"/>
      <c r="C324" s="47"/>
      <c r="D324" s="47"/>
      <c r="E324" s="47"/>
      <c r="F324" s="47"/>
      <c r="G324" s="30"/>
      <c r="H324" s="30"/>
    </row>
    <row r="325">
      <c r="A325" s="19">
        <v>325.0</v>
      </c>
      <c r="B325" s="47"/>
      <c r="C325" s="47"/>
      <c r="D325" s="47"/>
      <c r="E325" s="47"/>
      <c r="F325" s="47"/>
      <c r="G325" s="30"/>
      <c r="H325" s="30"/>
    </row>
    <row r="326">
      <c r="A326" s="19">
        <v>326.0</v>
      </c>
      <c r="B326" s="47"/>
      <c r="C326" s="47"/>
      <c r="D326" s="47"/>
      <c r="E326" s="47"/>
      <c r="F326" s="47"/>
      <c r="G326" s="30"/>
      <c r="H326" s="30"/>
    </row>
    <row r="327">
      <c r="A327" s="19">
        <v>327.0</v>
      </c>
      <c r="B327" s="47"/>
      <c r="C327" s="47"/>
      <c r="D327" s="47"/>
      <c r="E327" s="47"/>
      <c r="F327" s="47"/>
      <c r="G327" s="30"/>
      <c r="H327" s="30"/>
    </row>
    <row r="328">
      <c r="A328" s="19">
        <v>328.0</v>
      </c>
      <c r="B328" s="47"/>
      <c r="C328" s="47"/>
      <c r="D328" s="47"/>
      <c r="E328" s="47"/>
      <c r="F328" s="47"/>
      <c r="G328" s="30"/>
      <c r="H328" s="30"/>
    </row>
    <row r="329">
      <c r="A329" s="19">
        <v>329.0</v>
      </c>
      <c r="B329" s="47"/>
      <c r="C329" s="47"/>
      <c r="D329" s="47"/>
      <c r="E329" s="47"/>
      <c r="F329" s="47"/>
      <c r="G329" s="30"/>
      <c r="H329" s="30"/>
    </row>
    <row r="330">
      <c r="A330" s="19">
        <v>330.0</v>
      </c>
      <c r="B330" s="47"/>
      <c r="C330" s="47"/>
      <c r="D330" s="47"/>
      <c r="E330" s="47"/>
      <c r="F330" s="47"/>
      <c r="G330" s="30"/>
      <c r="H330" s="30"/>
    </row>
    <row r="331">
      <c r="A331" s="19">
        <v>331.0</v>
      </c>
      <c r="B331" s="47"/>
      <c r="C331" s="47"/>
      <c r="D331" s="47"/>
      <c r="E331" s="47"/>
      <c r="F331" s="47"/>
      <c r="G331" s="30"/>
      <c r="H331" s="30"/>
    </row>
    <row r="332">
      <c r="A332" s="19">
        <v>332.0</v>
      </c>
      <c r="B332" s="47"/>
      <c r="C332" s="47"/>
      <c r="D332" s="47"/>
      <c r="E332" s="47"/>
      <c r="F332" s="47"/>
      <c r="G332" s="30"/>
      <c r="H332" s="30"/>
    </row>
    <row r="333">
      <c r="A333" s="19">
        <v>333.0</v>
      </c>
      <c r="B333" s="47"/>
      <c r="C333" s="47"/>
      <c r="D333" s="47"/>
      <c r="E333" s="47"/>
      <c r="F333" s="47"/>
      <c r="G333" s="30"/>
      <c r="H333" s="30"/>
    </row>
    <row r="334">
      <c r="A334" s="19">
        <v>334.0</v>
      </c>
      <c r="B334" s="47"/>
      <c r="C334" s="47"/>
      <c r="D334" s="47"/>
      <c r="E334" s="47"/>
      <c r="F334" s="47"/>
      <c r="G334" s="30"/>
      <c r="H334" s="30"/>
    </row>
    <row r="335">
      <c r="A335" s="19">
        <v>335.0</v>
      </c>
      <c r="B335" s="47"/>
      <c r="C335" s="47"/>
      <c r="D335" s="47"/>
      <c r="E335" s="47"/>
      <c r="F335" s="47"/>
      <c r="G335" s="30"/>
      <c r="H335" s="30"/>
    </row>
    <row r="336">
      <c r="A336" s="19">
        <v>336.0</v>
      </c>
      <c r="B336" s="47"/>
      <c r="C336" s="47"/>
      <c r="D336" s="47"/>
      <c r="E336" s="47"/>
      <c r="F336" s="47"/>
      <c r="G336" s="30"/>
      <c r="H336" s="30"/>
    </row>
    <row r="337">
      <c r="A337" s="19">
        <v>337.0</v>
      </c>
      <c r="B337" s="47"/>
      <c r="C337" s="47"/>
      <c r="D337" s="47"/>
      <c r="E337" s="47"/>
      <c r="F337" s="47"/>
      <c r="G337" s="30"/>
      <c r="H337" s="30"/>
    </row>
    <row r="338">
      <c r="A338" s="19">
        <v>338.0</v>
      </c>
      <c r="B338" s="47"/>
      <c r="C338" s="47"/>
      <c r="D338" s="47"/>
      <c r="E338" s="47"/>
      <c r="F338" s="47"/>
      <c r="G338" s="30"/>
      <c r="H338" s="30"/>
    </row>
    <row r="339">
      <c r="A339" s="19">
        <v>339.0</v>
      </c>
      <c r="B339" s="47"/>
      <c r="C339" s="47"/>
      <c r="D339" s="47"/>
      <c r="E339" s="47"/>
      <c r="F339" s="47"/>
      <c r="G339" s="30"/>
      <c r="H339" s="30"/>
    </row>
    <row r="340">
      <c r="A340" s="19">
        <v>340.0</v>
      </c>
      <c r="B340" s="47"/>
      <c r="C340" s="47"/>
      <c r="D340" s="47"/>
      <c r="E340" s="47"/>
      <c r="F340" s="47"/>
      <c r="G340" s="30"/>
      <c r="H340" s="30"/>
    </row>
    <row r="341">
      <c r="A341" s="19">
        <v>341.0</v>
      </c>
      <c r="B341" s="47"/>
      <c r="C341" s="47"/>
      <c r="D341" s="47"/>
      <c r="E341" s="47"/>
      <c r="F341" s="47"/>
      <c r="G341" s="30"/>
      <c r="H341" s="30"/>
    </row>
    <row r="342">
      <c r="A342" s="19">
        <v>342.0</v>
      </c>
      <c r="B342" s="47"/>
      <c r="C342" s="47"/>
      <c r="D342" s="47"/>
      <c r="E342" s="47"/>
      <c r="F342" s="47"/>
      <c r="G342" s="30"/>
      <c r="H342" s="30"/>
    </row>
    <row r="343">
      <c r="A343" s="19">
        <v>343.0</v>
      </c>
      <c r="B343" s="47"/>
      <c r="C343" s="47"/>
      <c r="D343" s="47"/>
      <c r="E343" s="47"/>
      <c r="F343" s="47"/>
      <c r="G343" s="30"/>
      <c r="H343" s="30"/>
    </row>
    <row r="344">
      <c r="A344" s="19">
        <v>344.0</v>
      </c>
      <c r="B344" s="47"/>
      <c r="C344" s="47"/>
      <c r="D344" s="47"/>
      <c r="E344" s="47"/>
      <c r="F344" s="47"/>
      <c r="G344" s="30"/>
      <c r="H344" s="30"/>
    </row>
    <row r="345">
      <c r="A345" s="19">
        <v>345.0</v>
      </c>
      <c r="B345" s="47"/>
      <c r="C345" s="47"/>
      <c r="D345" s="47"/>
      <c r="E345" s="47"/>
      <c r="F345" s="47"/>
      <c r="G345" s="30"/>
      <c r="H345" s="30"/>
    </row>
    <row r="346">
      <c r="A346" s="19">
        <v>346.0</v>
      </c>
      <c r="B346" s="47"/>
      <c r="C346" s="47"/>
      <c r="D346" s="47"/>
      <c r="E346" s="47"/>
      <c r="F346" s="47"/>
      <c r="G346" s="30"/>
      <c r="H346" s="30"/>
    </row>
    <row r="347">
      <c r="A347" s="19">
        <v>347.0</v>
      </c>
      <c r="B347" s="47"/>
      <c r="C347" s="47"/>
      <c r="D347" s="47"/>
      <c r="E347" s="47"/>
      <c r="F347" s="47"/>
      <c r="G347" s="30"/>
      <c r="H347" s="30"/>
    </row>
    <row r="348">
      <c r="A348" s="19">
        <v>348.0</v>
      </c>
      <c r="B348" s="47"/>
      <c r="C348" s="47"/>
      <c r="D348" s="47"/>
      <c r="E348" s="47"/>
      <c r="F348" s="47"/>
      <c r="G348" s="30"/>
      <c r="H348" s="30"/>
    </row>
    <row r="349">
      <c r="A349" s="19">
        <v>349.0</v>
      </c>
      <c r="B349" s="47"/>
      <c r="C349" s="47"/>
      <c r="D349" s="47"/>
      <c r="E349" s="47"/>
      <c r="F349" s="47"/>
      <c r="G349" s="30"/>
      <c r="H349" s="30"/>
    </row>
    <row r="350">
      <c r="A350" s="19">
        <v>350.0</v>
      </c>
      <c r="B350" s="47"/>
      <c r="C350" s="47"/>
      <c r="D350" s="47"/>
      <c r="E350" s="47"/>
      <c r="F350" s="47"/>
      <c r="G350" s="30"/>
      <c r="H350" s="30"/>
    </row>
    <row r="351">
      <c r="A351" s="19">
        <v>351.0</v>
      </c>
      <c r="B351" s="47"/>
      <c r="C351" s="47"/>
      <c r="D351" s="47"/>
      <c r="E351" s="47"/>
      <c r="F351" s="47"/>
      <c r="G351" s="30"/>
      <c r="H351" s="30"/>
    </row>
    <row r="352">
      <c r="A352" s="19">
        <v>352.0</v>
      </c>
      <c r="B352" s="47"/>
      <c r="C352" s="47"/>
      <c r="D352" s="47"/>
      <c r="E352" s="47"/>
      <c r="F352" s="47"/>
      <c r="G352" s="30"/>
      <c r="H352" s="30"/>
    </row>
    <row r="353">
      <c r="A353" s="19">
        <v>353.0</v>
      </c>
      <c r="B353" s="47"/>
      <c r="C353" s="47"/>
      <c r="D353" s="47"/>
      <c r="E353" s="47"/>
      <c r="F353" s="47"/>
      <c r="G353" s="30"/>
      <c r="H353" s="30"/>
    </row>
    <row r="354">
      <c r="A354" s="19">
        <v>354.0</v>
      </c>
      <c r="B354" s="47"/>
      <c r="C354" s="47"/>
      <c r="D354" s="47"/>
      <c r="E354" s="47"/>
      <c r="F354" s="47"/>
      <c r="G354" s="30"/>
      <c r="H354" s="30"/>
    </row>
    <row r="355">
      <c r="A355" s="19">
        <v>355.0</v>
      </c>
      <c r="B355" s="47"/>
      <c r="C355" s="47"/>
      <c r="D355" s="47"/>
      <c r="E355" s="47"/>
      <c r="F355" s="47"/>
      <c r="G355" s="30"/>
      <c r="H355" s="30"/>
    </row>
    <row r="356">
      <c r="A356" s="19">
        <v>356.0</v>
      </c>
      <c r="B356" s="47"/>
      <c r="C356" s="47"/>
      <c r="D356" s="47"/>
      <c r="E356" s="47"/>
      <c r="F356" s="47"/>
      <c r="G356" s="30"/>
      <c r="H356" s="30"/>
    </row>
    <row r="357">
      <c r="A357" s="19">
        <v>357.0</v>
      </c>
      <c r="B357" s="47"/>
      <c r="C357" s="47"/>
      <c r="D357" s="47"/>
      <c r="E357" s="47"/>
      <c r="F357" s="47"/>
      <c r="G357" s="30"/>
      <c r="H357" s="30"/>
    </row>
    <row r="358">
      <c r="A358" s="19">
        <v>358.0</v>
      </c>
      <c r="B358" s="47"/>
      <c r="C358" s="47"/>
      <c r="D358" s="47"/>
      <c r="E358" s="47"/>
      <c r="F358" s="47"/>
      <c r="G358" s="30"/>
      <c r="H358" s="30"/>
    </row>
    <row r="359">
      <c r="A359" s="19">
        <v>359.0</v>
      </c>
      <c r="B359" s="47"/>
      <c r="C359" s="47"/>
      <c r="D359" s="47"/>
      <c r="E359" s="47"/>
      <c r="F359" s="47"/>
      <c r="G359" s="30"/>
      <c r="H359" s="30"/>
    </row>
    <row r="360">
      <c r="A360" s="19">
        <v>360.0</v>
      </c>
      <c r="B360" s="47"/>
      <c r="C360" s="47"/>
      <c r="D360" s="47"/>
      <c r="E360" s="47"/>
      <c r="F360" s="47"/>
      <c r="G360" s="30"/>
      <c r="H360" s="30"/>
    </row>
    <row r="361">
      <c r="A361" s="19">
        <v>361.0</v>
      </c>
      <c r="B361" s="47"/>
      <c r="C361" s="47"/>
      <c r="D361" s="47"/>
      <c r="E361" s="47"/>
      <c r="F361" s="47"/>
      <c r="G361" s="30"/>
      <c r="H361" s="30"/>
    </row>
    <row r="362">
      <c r="A362" s="19">
        <v>362.0</v>
      </c>
      <c r="B362" s="47"/>
      <c r="C362" s="47"/>
      <c r="D362" s="47"/>
      <c r="E362" s="47"/>
      <c r="F362" s="47"/>
      <c r="G362" s="30"/>
      <c r="H362" s="30"/>
    </row>
    <row r="363">
      <c r="A363" s="19">
        <v>363.0</v>
      </c>
      <c r="B363" s="47"/>
      <c r="C363" s="47"/>
      <c r="D363" s="47"/>
      <c r="E363" s="47"/>
      <c r="F363" s="47"/>
      <c r="G363" s="30"/>
      <c r="H363" s="30"/>
    </row>
    <row r="364">
      <c r="A364" s="19">
        <v>364.0</v>
      </c>
      <c r="B364" s="47"/>
      <c r="C364" s="47"/>
      <c r="D364" s="47"/>
      <c r="E364" s="47"/>
      <c r="F364" s="47"/>
      <c r="G364" s="30"/>
      <c r="H364" s="30"/>
    </row>
    <row r="365">
      <c r="A365" s="19">
        <v>365.0</v>
      </c>
      <c r="B365" s="47"/>
      <c r="C365" s="47"/>
      <c r="D365" s="47"/>
      <c r="E365" s="47"/>
      <c r="F365" s="47"/>
      <c r="G365" s="30"/>
      <c r="H365" s="30"/>
    </row>
    <row r="366">
      <c r="A366" s="19">
        <v>366.0</v>
      </c>
      <c r="B366" s="47"/>
      <c r="C366" s="47"/>
      <c r="D366" s="47"/>
      <c r="E366" s="47"/>
      <c r="F366" s="47"/>
      <c r="G366" s="30"/>
      <c r="H366" s="30"/>
    </row>
    <row r="367">
      <c r="A367" s="19">
        <v>367.0</v>
      </c>
      <c r="B367" s="47"/>
      <c r="C367" s="47"/>
      <c r="D367" s="47"/>
      <c r="E367" s="47"/>
      <c r="F367" s="47"/>
      <c r="G367" s="30"/>
      <c r="H367" s="30"/>
    </row>
    <row r="368">
      <c r="A368" s="19">
        <v>368.0</v>
      </c>
      <c r="B368" s="47"/>
      <c r="C368" s="47"/>
      <c r="D368" s="47"/>
      <c r="E368" s="47"/>
      <c r="F368" s="47"/>
      <c r="G368" s="30"/>
      <c r="H368" s="30"/>
    </row>
    <row r="369">
      <c r="A369" s="19">
        <v>369.0</v>
      </c>
      <c r="B369" s="47"/>
      <c r="C369" s="47"/>
      <c r="D369" s="47"/>
      <c r="E369" s="47"/>
      <c r="F369" s="47"/>
      <c r="G369" s="30"/>
      <c r="H369" s="30"/>
    </row>
    <row r="370">
      <c r="A370" s="19">
        <v>370.0</v>
      </c>
      <c r="B370" s="47"/>
      <c r="C370" s="47"/>
      <c r="D370" s="47"/>
      <c r="E370" s="47"/>
      <c r="F370" s="47"/>
      <c r="G370" s="30"/>
      <c r="H370" s="30"/>
    </row>
    <row r="371">
      <c r="A371" s="19">
        <v>371.0</v>
      </c>
      <c r="B371" s="47"/>
      <c r="C371" s="47"/>
      <c r="D371" s="47"/>
      <c r="E371" s="47"/>
      <c r="F371" s="47"/>
      <c r="G371" s="30"/>
      <c r="H371" s="30"/>
    </row>
    <row r="372">
      <c r="A372" s="19">
        <v>372.0</v>
      </c>
      <c r="B372" s="47"/>
      <c r="C372" s="47"/>
      <c r="D372" s="47"/>
      <c r="E372" s="47"/>
      <c r="F372" s="47"/>
      <c r="G372" s="30"/>
      <c r="H372" s="30"/>
    </row>
    <row r="373">
      <c r="A373" s="19">
        <v>373.0</v>
      </c>
      <c r="B373" s="47"/>
      <c r="C373" s="47"/>
      <c r="D373" s="47"/>
      <c r="E373" s="47"/>
      <c r="F373" s="47"/>
      <c r="G373" s="30"/>
      <c r="H373" s="30"/>
    </row>
    <row r="374">
      <c r="A374" s="19">
        <v>374.0</v>
      </c>
      <c r="B374" s="47"/>
      <c r="C374" s="47"/>
      <c r="D374" s="47"/>
      <c r="E374" s="47"/>
      <c r="F374" s="47"/>
      <c r="G374" s="30"/>
      <c r="H374" s="30"/>
    </row>
    <row r="375">
      <c r="A375" s="19">
        <v>375.0</v>
      </c>
      <c r="B375" s="47"/>
      <c r="C375" s="47"/>
      <c r="D375" s="47"/>
      <c r="E375" s="47"/>
      <c r="F375" s="47"/>
      <c r="G375" s="30"/>
      <c r="H375" s="30"/>
    </row>
    <row r="376">
      <c r="A376" s="19">
        <v>376.0</v>
      </c>
      <c r="B376" s="47"/>
      <c r="C376" s="47"/>
      <c r="D376" s="47"/>
      <c r="E376" s="47"/>
      <c r="F376" s="47"/>
      <c r="G376" s="30"/>
      <c r="H376" s="30"/>
    </row>
    <row r="377">
      <c r="A377" s="19">
        <v>377.0</v>
      </c>
      <c r="B377" s="47"/>
      <c r="C377" s="47"/>
      <c r="D377" s="47"/>
      <c r="E377" s="47"/>
      <c r="F377" s="47"/>
      <c r="G377" s="30"/>
      <c r="H377" s="30"/>
    </row>
    <row r="378">
      <c r="A378" s="19">
        <v>378.0</v>
      </c>
      <c r="B378" s="47"/>
      <c r="C378" s="47"/>
      <c r="D378" s="47"/>
      <c r="E378" s="47"/>
      <c r="F378" s="47"/>
      <c r="G378" s="30"/>
      <c r="H378" s="30"/>
    </row>
    <row r="379">
      <c r="A379" s="19">
        <v>379.0</v>
      </c>
      <c r="B379" s="47"/>
      <c r="C379" s="47"/>
      <c r="D379" s="47"/>
      <c r="E379" s="47"/>
      <c r="F379" s="47"/>
      <c r="G379" s="30"/>
      <c r="H379" s="30"/>
    </row>
    <row r="380">
      <c r="A380" s="19">
        <v>380.0</v>
      </c>
      <c r="B380" s="47"/>
      <c r="C380" s="47"/>
      <c r="D380" s="47"/>
      <c r="E380" s="47"/>
      <c r="F380" s="47"/>
      <c r="G380" s="30"/>
      <c r="H380" s="30"/>
    </row>
    <row r="381">
      <c r="A381" s="19">
        <v>381.0</v>
      </c>
      <c r="B381" s="47"/>
      <c r="C381" s="47"/>
      <c r="D381" s="47"/>
      <c r="E381" s="47"/>
      <c r="F381" s="47"/>
      <c r="G381" s="30"/>
      <c r="H381" s="30"/>
    </row>
    <row r="382">
      <c r="A382" s="19">
        <v>382.0</v>
      </c>
      <c r="B382" s="47"/>
      <c r="C382" s="47"/>
      <c r="D382" s="47"/>
      <c r="E382" s="47"/>
      <c r="F382" s="47"/>
      <c r="G382" s="30"/>
      <c r="H382" s="30"/>
    </row>
    <row r="383">
      <c r="A383" s="19">
        <v>383.0</v>
      </c>
      <c r="B383" s="47"/>
      <c r="C383" s="47"/>
      <c r="D383" s="47"/>
      <c r="E383" s="47"/>
      <c r="F383" s="47"/>
      <c r="G383" s="30"/>
      <c r="H383" s="30"/>
    </row>
    <row r="384">
      <c r="A384" s="19">
        <v>384.0</v>
      </c>
      <c r="B384" s="47"/>
      <c r="C384" s="47"/>
      <c r="D384" s="47"/>
      <c r="E384" s="47"/>
      <c r="F384" s="47"/>
      <c r="G384" s="30"/>
      <c r="H384" s="30"/>
    </row>
    <row r="385">
      <c r="A385" s="19">
        <v>385.0</v>
      </c>
      <c r="B385" s="47"/>
      <c r="C385" s="47"/>
      <c r="D385" s="47"/>
      <c r="E385" s="47"/>
      <c r="F385" s="47"/>
      <c r="G385" s="30"/>
      <c r="H385" s="30"/>
    </row>
    <row r="386">
      <c r="A386" s="19">
        <v>386.0</v>
      </c>
      <c r="B386" s="47"/>
      <c r="C386" s="47"/>
      <c r="D386" s="47"/>
      <c r="E386" s="47"/>
      <c r="F386" s="47"/>
      <c r="G386" s="30"/>
      <c r="H386" s="30"/>
    </row>
    <row r="387">
      <c r="A387" s="19">
        <v>387.0</v>
      </c>
      <c r="B387" s="47"/>
      <c r="C387" s="47"/>
      <c r="D387" s="47"/>
      <c r="E387" s="47"/>
      <c r="F387" s="47"/>
      <c r="G387" s="30"/>
      <c r="H387" s="30"/>
    </row>
    <row r="388">
      <c r="A388" s="19">
        <v>388.0</v>
      </c>
      <c r="B388" s="47"/>
      <c r="C388" s="47"/>
      <c r="D388" s="47"/>
      <c r="E388" s="47"/>
      <c r="F388" s="47"/>
      <c r="G388" s="30"/>
      <c r="H388" s="30"/>
    </row>
    <row r="389">
      <c r="A389" s="19">
        <v>389.0</v>
      </c>
      <c r="B389" s="47"/>
      <c r="C389" s="47"/>
      <c r="D389" s="47"/>
      <c r="E389" s="47"/>
      <c r="F389" s="47"/>
      <c r="G389" s="30"/>
      <c r="H389" s="30"/>
    </row>
    <row r="390">
      <c r="A390" s="19">
        <v>390.0</v>
      </c>
      <c r="B390" s="47"/>
      <c r="C390" s="47"/>
      <c r="D390" s="47"/>
      <c r="E390" s="47"/>
      <c r="F390" s="47"/>
      <c r="G390" s="30"/>
      <c r="H390" s="30"/>
    </row>
    <row r="391">
      <c r="A391" s="19">
        <v>391.0</v>
      </c>
      <c r="B391" s="47"/>
      <c r="C391" s="47"/>
      <c r="D391" s="47"/>
      <c r="E391" s="47"/>
      <c r="F391" s="47"/>
      <c r="G391" s="30"/>
      <c r="H391" s="30"/>
    </row>
    <row r="392">
      <c r="A392" s="19">
        <v>392.0</v>
      </c>
      <c r="B392" s="47"/>
      <c r="C392" s="47"/>
      <c r="D392" s="47"/>
      <c r="E392" s="47"/>
      <c r="F392" s="47"/>
      <c r="G392" s="30"/>
      <c r="H392" s="30"/>
    </row>
    <row r="393">
      <c r="A393" s="19">
        <v>393.0</v>
      </c>
      <c r="B393" s="47"/>
      <c r="C393" s="47"/>
      <c r="D393" s="47"/>
      <c r="E393" s="47"/>
      <c r="F393" s="47"/>
      <c r="G393" s="30"/>
      <c r="H393" s="30"/>
    </row>
    <row r="394">
      <c r="A394" s="19">
        <v>394.0</v>
      </c>
      <c r="B394" s="47"/>
      <c r="C394" s="47"/>
      <c r="D394" s="47"/>
      <c r="E394" s="47"/>
      <c r="F394" s="47"/>
      <c r="G394" s="30"/>
      <c r="H394" s="30"/>
    </row>
    <row r="395">
      <c r="A395" s="19">
        <v>395.0</v>
      </c>
      <c r="B395" s="47"/>
      <c r="C395" s="47"/>
      <c r="D395" s="47"/>
      <c r="E395" s="47"/>
      <c r="F395" s="47"/>
      <c r="G395" s="30"/>
      <c r="H395" s="30"/>
    </row>
    <row r="396">
      <c r="A396" s="19">
        <v>396.0</v>
      </c>
      <c r="B396" s="47"/>
      <c r="C396" s="47"/>
      <c r="D396" s="47"/>
      <c r="E396" s="47"/>
      <c r="F396" s="47"/>
      <c r="G396" s="30"/>
      <c r="H396" s="30"/>
    </row>
    <row r="397">
      <c r="A397" s="19">
        <v>397.0</v>
      </c>
      <c r="B397" s="47"/>
      <c r="C397" s="47"/>
      <c r="D397" s="47"/>
      <c r="E397" s="47"/>
      <c r="F397" s="47"/>
      <c r="G397" s="30"/>
      <c r="H397" s="30"/>
    </row>
    <row r="398">
      <c r="A398" s="19">
        <v>398.0</v>
      </c>
      <c r="B398" s="47"/>
      <c r="C398" s="47"/>
      <c r="D398" s="47"/>
      <c r="E398" s="47"/>
      <c r="F398" s="47"/>
      <c r="G398" s="30"/>
      <c r="H398" s="30"/>
    </row>
    <row r="399">
      <c r="A399" s="19">
        <v>399.0</v>
      </c>
      <c r="B399" s="47"/>
      <c r="C399" s="47"/>
      <c r="D399" s="47"/>
      <c r="E399" s="47"/>
      <c r="F399" s="47"/>
      <c r="G399" s="30"/>
      <c r="H399" s="30"/>
    </row>
    <row r="400">
      <c r="A400" s="19">
        <v>400.0</v>
      </c>
      <c r="B400" s="47"/>
      <c r="C400" s="47"/>
      <c r="D400" s="47"/>
      <c r="E400" s="47"/>
      <c r="F400" s="47"/>
      <c r="G400" s="30"/>
      <c r="H400" s="30"/>
    </row>
    <row r="401">
      <c r="A401" s="19">
        <v>401.0</v>
      </c>
      <c r="B401" s="47"/>
      <c r="C401" s="47"/>
      <c r="D401" s="47"/>
      <c r="E401" s="47"/>
      <c r="F401" s="47"/>
      <c r="G401" s="30"/>
      <c r="H401" s="30"/>
    </row>
    <row r="402">
      <c r="A402" s="19">
        <v>402.0</v>
      </c>
      <c r="B402" s="47"/>
      <c r="C402" s="47"/>
      <c r="D402" s="47"/>
      <c r="E402" s="47"/>
      <c r="F402" s="47"/>
      <c r="G402" s="30"/>
      <c r="H402" s="30"/>
    </row>
    <row r="403">
      <c r="A403" s="19">
        <v>403.0</v>
      </c>
      <c r="B403" s="47"/>
      <c r="C403" s="47"/>
      <c r="D403" s="47"/>
      <c r="E403" s="47"/>
      <c r="F403" s="47"/>
      <c r="G403" s="30"/>
      <c r="H403" s="30"/>
    </row>
    <row r="404">
      <c r="A404" s="19">
        <v>404.0</v>
      </c>
      <c r="B404" s="47"/>
      <c r="C404" s="47"/>
      <c r="D404" s="47"/>
      <c r="E404" s="47"/>
      <c r="F404" s="47"/>
      <c r="G404" s="30"/>
      <c r="H404" s="30"/>
    </row>
    <row r="405">
      <c r="A405" s="19">
        <v>405.0</v>
      </c>
      <c r="B405" s="47"/>
      <c r="C405" s="47"/>
      <c r="D405" s="47"/>
      <c r="E405" s="47"/>
      <c r="F405" s="47"/>
      <c r="G405" s="30"/>
      <c r="H405" s="30"/>
    </row>
    <row r="406">
      <c r="A406" s="19">
        <v>406.0</v>
      </c>
      <c r="B406" s="47"/>
      <c r="C406" s="47"/>
      <c r="D406" s="47"/>
      <c r="E406" s="47"/>
      <c r="F406" s="47"/>
      <c r="G406" s="30"/>
      <c r="H406" s="30"/>
    </row>
    <row r="407">
      <c r="A407" s="19">
        <v>407.0</v>
      </c>
      <c r="B407" s="47"/>
      <c r="C407" s="47"/>
      <c r="D407" s="47"/>
      <c r="E407" s="47"/>
      <c r="F407" s="47"/>
      <c r="G407" s="30"/>
      <c r="H407" s="30"/>
    </row>
    <row r="408">
      <c r="A408" s="19">
        <v>408.0</v>
      </c>
      <c r="B408" s="47"/>
      <c r="C408" s="47"/>
      <c r="D408" s="47"/>
      <c r="E408" s="47"/>
      <c r="F408" s="47"/>
      <c r="G408" s="30"/>
      <c r="H408" s="30"/>
    </row>
    <row r="409">
      <c r="A409" s="19">
        <v>409.0</v>
      </c>
      <c r="B409" s="47"/>
      <c r="C409" s="47"/>
      <c r="D409" s="47"/>
      <c r="E409" s="47"/>
      <c r="F409" s="47"/>
      <c r="G409" s="30"/>
      <c r="H409" s="30"/>
    </row>
    <row r="410">
      <c r="A410" s="19">
        <v>410.0</v>
      </c>
      <c r="B410" s="47"/>
      <c r="C410" s="47"/>
      <c r="D410" s="47"/>
      <c r="E410" s="47"/>
      <c r="F410" s="47"/>
      <c r="G410" s="30"/>
      <c r="H410" s="30"/>
    </row>
    <row r="411">
      <c r="A411" s="19">
        <v>411.0</v>
      </c>
      <c r="B411" s="47"/>
      <c r="C411" s="47"/>
      <c r="D411" s="47"/>
      <c r="E411" s="47"/>
      <c r="F411" s="47"/>
      <c r="G411" s="30"/>
      <c r="H411" s="30"/>
    </row>
    <row r="412">
      <c r="A412" s="19">
        <v>412.0</v>
      </c>
      <c r="B412" s="47"/>
      <c r="C412" s="47"/>
      <c r="D412" s="47"/>
      <c r="E412" s="47"/>
      <c r="F412" s="47"/>
      <c r="G412" s="30"/>
      <c r="H412" s="30"/>
    </row>
    <row r="413">
      <c r="A413" s="19">
        <v>413.0</v>
      </c>
      <c r="B413" s="47"/>
      <c r="C413" s="47"/>
      <c r="D413" s="47"/>
      <c r="E413" s="47"/>
      <c r="F413" s="47"/>
      <c r="G413" s="30"/>
      <c r="H413" s="30"/>
    </row>
    <row r="414">
      <c r="A414" s="19">
        <v>414.0</v>
      </c>
      <c r="B414" s="47"/>
      <c r="C414" s="47"/>
      <c r="D414" s="47"/>
      <c r="E414" s="47"/>
      <c r="F414" s="47"/>
      <c r="G414" s="30"/>
      <c r="H414" s="30"/>
    </row>
    <row r="415">
      <c r="A415" s="19">
        <v>415.0</v>
      </c>
      <c r="B415" s="47"/>
      <c r="C415" s="47"/>
      <c r="D415" s="47"/>
      <c r="E415" s="47"/>
      <c r="F415" s="47"/>
      <c r="G415" s="30"/>
      <c r="H415" s="30"/>
    </row>
    <row r="416">
      <c r="A416" s="19">
        <v>416.0</v>
      </c>
      <c r="B416" s="47"/>
      <c r="C416" s="47"/>
      <c r="D416" s="47"/>
      <c r="E416" s="47"/>
      <c r="F416" s="47"/>
      <c r="G416" s="30"/>
      <c r="H416" s="30"/>
    </row>
    <row r="417">
      <c r="A417" s="19">
        <v>417.0</v>
      </c>
      <c r="B417" s="47"/>
      <c r="C417" s="47"/>
      <c r="D417" s="47"/>
      <c r="E417" s="47"/>
      <c r="F417" s="47"/>
      <c r="G417" s="30"/>
      <c r="H417" s="30"/>
    </row>
    <row r="418">
      <c r="A418" s="19">
        <v>418.0</v>
      </c>
      <c r="B418" s="47"/>
      <c r="C418" s="47"/>
      <c r="D418" s="47"/>
      <c r="E418" s="47"/>
      <c r="F418" s="47"/>
      <c r="G418" s="30"/>
      <c r="H418" s="30"/>
    </row>
    <row r="419">
      <c r="A419" s="19">
        <v>419.0</v>
      </c>
      <c r="B419" s="47"/>
      <c r="C419" s="47"/>
      <c r="D419" s="47"/>
      <c r="E419" s="47"/>
      <c r="F419" s="47"/>
      <c r="G419" s="30"/>
      <c r="H419" s="30"/>
    </row>
    <row r="420">
      <c r="A420" s="19">
        <v>420.0</v>
      </c>
      <c r="B420" s="47"/>
      <c r="C420" s="47"/>
      <c r="D420" s="47"/>
      <c r="E420" s="47"/>
      <c r="F420" s="47"/>
      <c r="G420" s="30"/>
      <c r="H420" s="30"/>
    </row>
    <row r="421">
      <c r="A421" s="19">
        <v>421.0</v>
      </c>
      <c r="B421" s="47"/>
      <c r="C421" s="47"/>
      <c r="D421" s="47"/>
      <c r="E421" s="47"/>
      <c r="F421" s="47"/>
      <c r="G421" s="30"/>
      <c r="H421" s="30"/>
    </row>
    <row r="422">
      <c r="A422" s="19">
        <v>422.0</v>
      </c>
      <c r="B422" s="47"/>
      <c r="C422" s="47"/>
      <c r="D422" s="47"/>
      <c r="E422" s="47"/>
      <c r="F422" s="47"/>
      <c r="G422" s="30"/>
      <c r="H422" s="30"/>
    </row>
    <row r="423">
      <c r="A423" s="19">
        <v>423.0</v>
      </c>
      <c r="B423" s="47"/>
      <c r="C423" s="47"/>
      <c r="D423" s="47"/>
      <c r="E423" s="47"/>
      <c r="F423" s="47"/>
      <c r="G423" s="30"/>
      <c r="H423" s="30"/>
    </row>
    <row r="424">
      <c r="A424" s="19">
        <v>424.0</v>
      </c>
      <c r="B424" s="47"/>
      <c r="C424" s="47"/>
      <c r="D424" s="47"/>
      <c r="E424" s="47"/>
      <c r="F424" s="47"/>
      <c r="G424" s="30"/>
      <c r="H424" s="30"/>
    </row>
    <row r="425">
      <c r="A425" s="19">
        <v>425.0</v>
      </c>
      <c r="B425" s="47"/>
      <c r="C425" s="47"/>
      <c r="D425" s="47"/>
      <c r="E425" s="47"/>
      <c r="F425" s="47"/>
      <c r="G425" s="30"/>
      <c r="H425" s="30"/>
    </row>
    <row r="426">
      <c r="A426" s="19">
        <v>426.0</v>
      </c>
      <c r="B426" s="47"/>
      <c r="C426" s="47"/>
      <c r="D426" s="47"/>
      <c r="E426" s="47"/>
      <c r="F426" s="47"/>
      <c r="G426" s="30"/>
      <c r="H426" s="30"/>
    </row>
    <row r="427">
      <c r="A427" s="19">
        <v>427.0</v>
      </c>
      <c r="B427" s="47"/>
      <c r="C427" s="47"/>
      <c r="D427" s="47"/>
      <c r="E427" s="47"/>
      <c r="F427" s="47"/>
      <c r="G427" s="30"/>
      <c r="H427" s="30"/>
    </row>
    <row r="428">
      <c r="A428" s="19">
        <v>428.0</v>
      </c>
      <c r="B428" s="47"/>
      <c r="C428" s="47"/>
      <c r="D428" s="47"/>
      <c r="E428" s="47"/>
      <c r="F428" s="47"/>
      <c r="G428" s="30"/>
      <c r="H428" s="30"/>
    </row>
    <row r="429">
      <c r="A429" s="19">
        <v>429.0</v>
      </c>
      <c r="B429" s="47"/>
      <c r="C429" s="47"/>
      <c r="D429" s="47"/>
      <c r="E429" s="47"/>
      <c r="F429" s="47"/>
      <c r="G429" s="30"/>
      <c r="H429" s="30"/>
    </row>
    <row r="430">
      <c r="A430" s="19">
        <v>430.0</v>
      </c>
      <c r="B430" s="47"/>
      <c r="C430" s="47"/>
      <c r="D430" s="47"/>
      <c r="E430" s="47"/>
      <c r="F430" s="47"/>
      <c r="G430" s="30"/>
      <c r="H430" s="30"/>
    </row>
    <row r="431">
      <c r="A431" s="19">
        <v>431.0</v>
      </c>
      <c r="B431" s="47"/>
      <c r="C431" s="47"/>
      <c r="D431" s="47"/>
      <c r="E431" s="47"/>
      <c r="F431" s="47"/>
      <c r="G431" s="30"/>
      <c r="H431" s="30"/>
    </row>
    <row r="432">
      <c r="A432" s="19">
        <v>432.0</v>
      </c>
      <c r="B432" s="47"/>
      <c r="C432" s="47"/>
      <c r="D432" s="47"/>
      <c r="E432" s="47"/>
      <c r="F432" s="47"/>
      <c r="G432" s="30"/>
      <c r="H432" s="30"/>
    </row>
    <row r="433">
      <c r="A433" s="19">
        <v>433.0</v>
      </c>
      <c r="B433" s="47"/>
      <c r="C433" s="47"/>
      <c r="D433" s="47"/>
      <c r="E433" s="47"/>
      <c r="F433" s="47"/>
      <c r="G433" s="30"/>
      <c r="H433" s="30"/>
    </row>
    <row r="434">
      <c r="A434" s="19">
        <v>434.0</v>
      </c>
      <c r="B434" s="47"/>
      <c r="C434" s="47"/>
      <c r="D434" s="47"/>
      <c r="E434" s="47"/>
      <c r="F434" s="47"/>
      <c r="G434" s="30"/>
      <c r="H434" s="30"/>
    </row>
    <row r="435">
      <c r="A435" s="19">
        <v>435.0</v>
      </c>
      <c r="B435" s="47"/>
      <c r="C435" s="47"/>
      <c r="D435" s="47"/>
      <c r="E435" s="47"/>
      <c r="F435" s="47"/>
      <c r="G435" s="30"/>
      <c r="H435" s="30"/>
    </row>
    <row r="436">
      <c r="A436" s="19">
        <v>436.0</v>
      </c>
      <c r="B436" s="47"/>
      <c r="C436" s="47"/>
      <c r="D436" s="47"/>
      <c r="E436" s="47"/>
      <c r="F436" s="47"/>
      <c r="G436" s="30"/>
      <c r="H436" s="30"/>
    </row>
    <row r="437">
      <c r="A437" s="19">
        <v>437.0</v>
      </c>
      <c r="B437" s="47"/>
      <c r="C437" s="47"/>
      <c r="D437" s="47"/>
      <c r="E437" s="47"/>
      <c r="F437" s="47"/>
      <c r="G437" s="30"/>
      <c r="H437" s="30"/>
    </row>
    <row r="438">
      <c r="A438" s="19">
        <v>438.0</v>
      </c>
      <c r="B438" s="47"/>
      <c r="C438" s="47"/>
      <c r="D438" s="47"/>
      <c r="E438" s="47"/>
      <c r="F438" s="47"/>
      <c r="G438" s="30"/>
      <c r="H438" s="30"/>
    </row>
    <row r="439">
      <c r="A439" s="19">
        <v>439.0</v>
      </c>
      <c r="B439" s="47"/>
      <c r="C439" s="47"/>
      <c r="D439" s="47"/>
      <c r="E439" s="47"/>
      <c r="F439" s="47"/>
      <c r="G439" s="30"/>
      <c r="H439" s="30"/>
    </row>
    <row r="440">
      <c r="A440" s="19">
        <v>440.0</v>
      </c>
      <c r="B440" s="47"/>
      <c r="C440" s="47"/>
      <c r="D440" s="47"/>
      <c r="E440" s="47"/>
      <c r="F440" s="47"/>
      <c r="G440" s="30"/>
      <c r="H440" s="30"/>
    </row>
    <row r="441">
      <c r="A441" s="19">
        <v>441.0</v>
      </c>
      <c r="B441" s="47"/>
      <c r="C441" s="47"/>
      <c r="D441" s="47"/>
      <c r="E441" s="47"/>
      <c r="F441" s="47"/>
      <c r="G441" s="30"/>
      <c r="H441" s="30"/>
    </row>
    <row r="442">
      <c r="A442" s="19">
        <v>442.0</v>
      </c>
      <c r="B442" s="47"/>
      <c r="C442" s="47"/>
      <c r="D442" s="47"/>
      <c r="E442" s="47"/>
      <c r="F442" s="47"/>
      <c r="G442" s="30"/>
      <c r="H442" s="30"/>
    </row>
    <row r="443">
      <c r="A443" s="19">
        <v>443.0</v>
      </c>
      <c r="B443" s="47"/>
      <c r="C443" s="47"/>
      <c r="D443" s="47"/>
      <c r="E443" s="47"/>
      <c r="F443" s="47"/>
      <c r="G443" s="30"/>
      <c r="H443" s="30"/>
    </row>
    <row r="444">
      <c r="A444" s="19">
        <v>444.0</v>
      </c>
      <c r="B444" s="47"/>
      <c r="C444" s="47"/>
      <c r="D444" s="47"/>
      <c r="E444" s="47"/>
      <c r="F444" s="47"/>
      <c r="G444" s="30"/>
      <c r="H444" s="30"/>
    </row>
    <row r="445">
      <c r="A445" s="19">
        <v>445.0</v>
      </c>
      <c r="B445" s="47"/>
      <c r="C445" s="47"/>
      <c r="D445" s="47"/>
      <c r="E445" s="47"/>
      <c r="F445" s="47"/>
      <c r="G445" s="30"/>
      <c r="H445" s="30"/>
    </row>
    <row r="446">
      <c r="A446" s="19">
        <v>446.0</v>
      </c>
      <c r="B446" s="47"/>
      <c r="C446" s="47"/>
      <c r="D446" s="47"/>
      <c r="E446" s="47"/>
      <c r="F446" s="47"/>
      <c r="G446" s="30"/>
      <c r="H446" s="30"/>
    </row>
    <row r="447">
      <c r="A447" s="19">
        <v>447.0</v>
      </c>
      <c r="B447" s="47"/>
      <c r="C447" s="47"/>
      <c r="D447" s="47"/>
      <c r="E447" s="47"/>
      <c r="F447" s="47"/>
      <c r="G447" s="30"/>
      <c r="H447" s="30"/>
    </row>
    <row r="448">
      <c r="A448" s="19">
        <v>448.0</v>
      </c>
      <c r="B448" s="47"/>
      <c r="C448" s="47"/>
      <c r="D448" s="47"/>
      <c r="E448" s="47"/>
      <c r="F448" s="47"/>
      <c r="G448" s="30"/>
      <c r="H448" s="30"/>
    </row>
    <row r="449">
      <c r="A449" s="19">
        <v>449.0</v>
      </c>
      <c r="B449" s="47"/>
      <c r="C449" s="47"/>
      <c r="D449" s="47"/>
      <c r="E449" s="47"/>
      <c r="F449" s="47"/>
      <c r="G449" s="30"/>
      <c r="H449" s="30"/>
    </row>
    <row r="450">
      <c r="A450" s="19">
        <v>450.0</v>
      </c>
      <c r="B450" s="47"/>
      <c r="C450" s="47"/>
      <c r="D450" s="47"/>
      <c r="E450" s="47"/>
      <c r="F450" s="47"/>
      <c r="G450" s="30"/>
      <c r="H450" s="30"/>
    </row>
    <row r="451">
      <c r="A451" s="19">
        <v>451.0</v>
      </c>
      <c r="B451" s="47"/>
      <c r="C451" s="47"/>
      <c r="D451" s="47"/>
      <c r="E451" s="47"/>
      <c r="F451" s="47"/>
      <c r="G451" s="30"/>
      <c r="H451" s="30"/>
    </row>
    <row r="452">
      <c r="A452" s="19">
        <v>452.0</v>
      </c>
      <c r="B452" s="47"/>
      <c r="C452" s="47"/>
      <c r="D452" s="47"/>
      <c r="E452" s="47"/>
      <c r="F452" s="47"/>
      <c r="G452" s="30"/>
      <c r="H452" s="30"/>
    </row>
    <row r="453">
      <c r="A453" s="19">
        <v>453.0</v>
      </c>
      <c r="B453" s="47"/>
      <c r="C453" s="47"/>
      <c r="D453" s="47"/>
      <c r="E453" s="47"/>
      <c r="F453" s="47"/>
      <c r="G453" s="30"/>
      <c r="H453" s="30"/>
    </row>
    <row r="454">
      <c r="A454" s="19">
        <v>454.0</v>
      </c>
      <c r="B454" s="47"/>
      <c r="C454" s="47"/>
      <c r="D454" s="47"/>
      <c r="E454" s="47"/>
      <c r="F454" s="47"/>
      <c r="G454" s="30"/>
      <c r="H454" s="30"/>
    </row>
    <row r="455">
      <c r="A455" s="19">
        <v>455.0</v>
      </c>
      <c r="B455" s="47"/>
      <c r="C455" s="47"/>
      <c r="D455" s="47"/>
      <c r="E455" s="47"/>
      <c r="F455" s="47"/>
      <c r="G455" s="30"/>
      <c r="H455" s="30"/>
    </row>
    <row r="456">
      <c r="A456" s="19">
        <v>456.0</v>
      </c>
      <c r="B456" s="47"/>
      <c r="C456" s="47"/>
      <c r="D456" s="47"/>
      <c r="E456" s="47"/>
      <c r="F456" s="47"/>
      <c r="G456" s="30"/>
      <c r="H456" s="30"/>
    </row>
    <row r="457">
      <c r="A457" s="19">
        <v>457.0</v>
      </c>
      <c r="B457" s="47"/>
      <c r="C457" s="47"/>
      <c r="D457" s="47"/>
      <c r="E457" s="47"/>
      <c r="F457" s="47"/>
      <c r="G457" s="30"/>
      <c r="H457" s="30"/>
    </row>
    <row r="458">
      <c r="A458" s="19">
        <v>458.0</v>
      </c>
      <c r="B458" s="47"/>
      <c r="C458" s="47"/>
      <c r="D458" s="47"/>
      <c r="E458" s="47"/>
      <c r="F458" s="47"/>
      <c r="G458" s="30"/>
      <c r="H458" s="30"/>
    </row>
    <row r="459">
      <c r="A459" s="19">
        <v>459.0</v>
      </c>
      <c r="B459" s="47"/>
      <c r="C459" s="47"/>
      <c r="D459" s="47"/>
      <c r="E459" s="47"/>
      <c r="F459" s="47"/>
      <c r="G459" s="30"/>
      <c r="H459" s="30"/>
    </row>
    <row r="460">
      <c r="A460" s="19">
        <v>460.0</v>
      </c>
      <c r="B460" s="47"/>
      <c r="C460" s="47"/>
      <c r="D460" s="47"/>
      <c r="E460" s="47"/>
      <c r="F460" s="47"/>
      <c r="G460" s="30"/>
      <c r="H460" s="30"/>
    </row>
    <row r="461">
      <c r="A461" s="19">
        <v>461.0</v>
      </c>
      <c r="B461" s="47"/>
      <c r="C461" s="47"/>
      <c r="D461" s="47"/>
      <c r="E461" s="47"/>
      <c r="F461" s="47"/>
      <c r="G461" s="30"/>
      <c r="H461" s="30"/>
    </row>
    <row r="462">
      <c r="A462" s="19">
        <v>462.0</v>
      </c>
      <c r="B462" s="47"/>
      <c r="C462" s="47"/>
      <c r="D462" s="47"/>
      <c r="E462" s="47"/>
      <c r="F462" s="47"/>
      <c r="G462" s="30"/>
      <c r="H462" s="30"/>
    </row>
    <row r="463">
      <c r="A463" s="19">
        <v>463.0</v>
      </c>
      <c r="B463" s="47"/>
      <c r="C463" s="47"/>
      <c r="D463" s="47"/>
      <c r="E463" s="47"/>
      <c r="F463" s="47"/>
      <c r="G463" s="30"/>
      <c r="H463" s="30"/>
    </row>
    <row r="464">
      <c r="A464" s="19">
        <v>464.0</v>
      </c>
      <c r="B464" s="47"/>
      <c r="C464" s="47"/>
      <c r="D464" s="47"/>
      <c r="E464" s="47"/>
      <c r="F464" s="47"/>
      <c r="G464" s="30"/>
      <c r="H464" s="30"/>
    </row>
    <row r="465">
      <c r="A465" s="19">
        <v>465.0</v>
      </c>
      <c r="B465" s="47"/>
      <c r="C465" s="47"/>
      <c r="D465" s="47"/>
      <c r="E465" s="47"/>
      <c r="F465" s="47"/>
      <c r="G465" s="30"/>
      <c r="H465" s="30"/>
    </row>
    <row r="466">
      <c r="A466" s="19">
        <v>466.0</v>
      </c>
      <c r="B466" s="47"/>
      <c r="C466" s="47"/>
      <c r="D466" s="47"/>
      <c r="E466" s="47"/>
      <c r="F466" s="47"/>
      <c r="G466" s="30"/>
      <c r="H466" s="30"/>
    </row>
    <row r="467">
      <c r="A467" s="19">
        <v>467.0</v>
      </c>
      <c r="B467" s="47"/>
      <c r="C467" s="47"/>
      <c r="D467" s="47"/>
      <c r="E467" s="47"/>
      <c r="F467" s="47"/>
      <c r="G467" s="30"/>
      <c r="H467" s="30"/>
    </row>
    <row r="468">
      <c r="A468" s="19">
        <v>468.0</v>
      </c>
      <c r="B468" s="47"/>
      <c r="C468" s="47"/>
      <c r="D468" s="47"/>
      <c r="E468" s="47"/>
      <c r="F468" s="47"/>
      <c r="G468" s="30"/>
      <c r="H468" s="30"/>
    </row>
    <row r="469">
      <c r="A469" s="19">
        <v>469.0</v>
      </c>
      <c r="B469" s="47"/>
      <c r="C469" s="47"/>
      <c r="D469" s="47"/>
      <c r="E469" s="47"/>
      <c r="F469" s="47"/>
      <c r="G469" s="30"/>
      <c r="H469" s="30"/>
    </row>
    <row r="470">
      <c r="A470" s="19">
        <v>470.0</v>
      </c>
      <c r="B470" s="47"/>
      <c r="C470" s="47"/>
      <c r="D470" s="47"/>
      <c r="E470" s="47"/>
      <c r="F470" s="47"/>
      <c r="G470" s="30"/>
      <c r="H470" s="30"/>
    </row>
    <row r="471">
      <c r="A471" s="19">
        <v>471.0</v>
      </c>
      <c r="B471" s="47"/>
      <c r="C471" s="47"/>
      <c r="D471" s="47"/>
      <c r="E471" s="47"/>
      <c r="F471" s="47"/>
      <c r="G471" s="30"/>
      <c r="H471" s="30"/>
    </row>
    <row r="472">
      <c r="A472" s="19">
        <v>472.0</v>
      </c>
      <c r="B472" s="47"/>
      <c r="C472" s="47"/>
      <c r="D472" s="47"/>
      <c r="E472" s="47"/>
      <c r="F472" s="47"/>
      <c r="G472" s="30"/>
      <c r="H472" s="30"/>
    </row>
    <row r="473">
      <c r="A473" s="19">
        <v>473.0</v>
      </c>
      <c r="B473" s="47"/>
      <c r="C473" s="47"/>
      <c r="D473" s="47"/>
      <c r="E473" s="47"/>
      <c r="F473" s="47"/>
      <c r="G473" s="30"/>
      <c r="H473" s="30"/>
    </row>
    <row r="474">
      <c r="A474" s="19">
        <v>474.0</v>
      </c>
      <c r="B474" s="47"/>
      <c r="C474" s="47"/>
      <c r="D474" s="47"/>
      <c r="E474" s="47"/>
      <c r="F474" s="47"/>
      <c r="G474" s="30"/>
      <c r="H474" s="30"/>
    </row>
    <row r="475">
      <c r="A475" s="19">
        <v>475.0</v>
      </c>
      <c r="B475" s="47"/>
      <c r="C475" s="47"/>
      <c r="D475" s="47"/>
      <c r="E475" s="47"/>
      <c r="F475" s="47"/>
      <c r="G475" s="30"/>
      <c r="H475" s="30"/>
    </row>
    <row r="476">
      <c r="A476" s="19">
        <v>476.0</v>
      </c>
      <c r="B476" s="47"/>
      <c r="C476" s="47"/>
      <c r="D476" s="47"/>
      <c r="E476" s="47"/>
      <c r="F476" s="47"/>
      <c r="G476" s="30"/>
      <c r="H476" s="30"/>
    </row>
    <row r="477">
      <c r="A477" s="19">
        <v>477.0</v>
      </c>
      <c r="B477" s="47"/>
      <c r="C477" s="47"/>
      <c r="D477" s="47"/>
      <c r="E477" s="47"/>
      <c r="F477" s="47"/>
      <c r="G477" s="30"/>
      <c r="H477" s="30"/>
    </row>
    <row r="478">
      <c r="A478" s="19">
        <v>478.0</v>
      </c>
      <c r="B478" s="47"/>
      <c r="C478" s="47"/>
      <c r="D478" s="47"/>
      <c r="E478" s="47"/>
      <c r="F478" s="47"/>
      <c r="G478" s="30"/>
      <c r="H478" s="30"/>
    </row>
    <row r="479">
      <c r="A479" s="19">
        <v>479.0</v>
      </c>
      <c r="B479" s="47"/>
      <c r="C479" s="47"/>
      <c r="D479" s="47"/>
      <c r="E479" s="47"/>
      <c r="F479" s="47"/>
      <c r="G479" s="30"/>
      <c r="H479" s="30"/>
    </row>
    <row r="480">
      <c r="A480" s="19">
        <v>480.0</v>
      </c>
      <c r="B480" s="47"/>
      <c r="C480" s="47"/>
      <c r="D480" s="47"/>
      <c r="E480" s="47"/>
      <c r="F480" s="47"/>
      <c r="G480" s="30"/>
      <c r="H480" s="30"/>
    </row>
    <row r="481">
      <c r="A481" s="19">
        <v>481.0</v>
      </c>
      <c r="B481" s="47"/>
      <c r="C481" s="47"/>
      <c r="D481" s="47"/>
      <c r="E481" s="47"/>
      <c r="F481" s="47"/>
      <c r="G481" s="30"/>
      <c r="H481" s="30"/>
    </row>
    <row r="482">
      <c r="A482" s="19">
        <v>482.0</v>
      </c>
      <c r="B482" s="47"/>
      <c r="C482" s="47"/>
      <c r="D482" s="47"/>
      <c r="E482" s="47"/>
      <c r="F482" s="47"/>
      <c r="G482" s="30"/>
      <c r="H482" s="30"/>
    </row>
    <row r="483">
      <c r="A483" s="19">
        <v>483.0</v>
      </c>
      <c r="B483" s="47"/>
      <c r="C483" s="47"/>
      <c r="D483" s="47"/>
      <c r="E483" s="47"/>
      <c r="F483" s="47"/>
      <c r="G483" s="30"/>
      <c r="H483" s="30"/>
    </row>
    <row r="484">
      <c r="A484" s="19">
        <v>484.0</v>
      </c>
      <c r="B484" s="47"/>
      <c r="C484" s="47"/>
      <c r="D484" s="47"/>
      <c r="E484" s="47"/>
      <c r="F484" s="47"/>
      <c r="G484" s="30"/>
      <c r="H484" s="30"/>
    </row>
    <row r="485">
      <c r="A485" s="19">
        <v>485.0</v>
      </c>
      <c r="B485" s="47"/>
      <c r="C485" s="47"/>
      <c r="D485" s="47"/>
      <c r="E485" s="47"/>
      <c r="F485" s="47"/>
      <c r="G485" s="30"/>
      <c r="H485" s="30"/>
    </row>
    <row r="486">
      <c r="A486" s="19">
        <v>486.0</v>
      </c>
      <c r="B486" s="47"/>
      <c r="C486" s="47"/>
      <c r="D486" s="47"/>
      <c r="E486" s="47"/>
      <c r="F486" s="47"/>
      <c r="G486" s="30"/>
      <c r="H486" s="30"/>
    </row>
    <row r="487">
      <c r="A487" s="19">
        <v>487.0</v>
      </c>
      <c r="B487" s="47"/>
      <c r="C487" s="47"/>
      <c r="D487" s="47"/>
      <c r="E487" s="47"/>
      <c r="F487" s="47"/>
      <c r="G487" s="30"/>
      <c r="H487" s="30"/>
    </row>
    <row r="488">
      <c r="A488" s="19">
        <v>488.0</v>
      </c>
      <c r="B488" s="47"/>
      <c r="C488" s="47"/>
      <c r="D488" s="47"/>
      <c r="E488" s="47"/>
      <c r="F488" s="47"/>
      <c r="G488" s="30"/>
      <c r="H488" s="30"/>
    </row>
    <row r="489">
      <c r="A489" s="19">
        <v>489.0</v>
      </c>
      <c r="B489" s="47"/>
      <c r="C489" s="47"/>
      <c r="D489" s="47"/>
      <c r="E489" s="47"/>
      <c r="F489" s="47"/>
      <c r="G489" s="30"/>
      <c r="H489" s="30"/>
    </row>
    <row r="490">
      <c r="A490" s="19">
        <v>490.0</v>
      </c>
      <c r="B490" s="47"/>
      <c r="C490" s="47"/>
      <c r="D490" s="47"/>
      <c r="E490" s="47"/>
      <c r="F490" s="47"/>
      <c r="G490" s="30"/>
      <c r="H490" s="30"/>
    </row>
    <row r="491">
      <c r="A491" s="19">
        <v>491.0</v>
      </c>
      <c r="B491" s="47"/>
      <c r="C491" s="47"/>
      <c r="D491" s="47"/>
      <c r="E491" s="47"/>
      <c r="F491" s="47"/>
      <c r="G491" s="30"/>
      <c r="H491" s="30"/>
    </row>
    <row r="492">
      <c r="A492" s="19">
        <v>492.0</v>
      </c>
      <c r="B492" s="47"/>
      <c r="C492" s="47"/>
      <c r="D492" s="47"/>
      <c r="E492" s="47"/>
      <c r="F492" s="47"/>
      <c r="G492" s="30"/>
      <c r="H492" s="30"/>
    </row>
    <row r="493">
      <c r="A493" s="19">
        <v>493.0</v>
      </c>
      <c r="B493" s="47"/>
      <c r="C493" s="47"/>
      <c r="D493" s="47"/>
      <c r="E493" s="47"/>
      <c r="F493" s="47"/>
      <c r="G493" s="30"/>
      <c r="H493" s="30"/>
    </row>
    <row r="494">
      <c r="A494" s="19">
        <v>494.0</v>
      </c>
      <c r="B494" s="47"/>
      <c r="C494" s="47"/>
      <c r="D494" s="47"/>
      <c r="E494" s="47"/>
      <c r="F494" s="47"/>
      <c r="G494" s="30"/>
      <c r="H494" s="30"/>
    </row>
    <row r="495">
      <c r="A495" s="19">
        <v>495.0</v>
      </c>
      <c r="B495" s="47"/>
      <c r="C495" s="47"/>
      <c r="D495" s="47"/>
      <c r="E495" s="47"/>
      <c r="F495" s="47"/>
      <c r="G495" s="30"/>
      <c r="H495" s="30"/>
    </row>
    <row r="496">
      <c r="A496" s="19">
        <v>496.0</v>
      </c>
      <c r="B496" s="47"/>
      <c r="C496" s="47"/>
      <c r="D496" s="47"/>
      <c r="E496" s="47"/>
      <c r="F496" s="47"/>
      <c r="G496" s="30"/>
      <c r="H496" s="30"/>
    </row>
    <row r="497">
      <c r="A497" s="19">
        <v>497.0</v>
      </c>
      <c r="B497" s="47"/>
      <c r="C497" s="47"/>
      <c r="D497" s="47"/>
      <c r="E497" s="47"/>
      <c r="F497" s="47"/>
      <c r="G497" s="30"/>
      <c r="H497" s="30"/>
    </row>
    <row r="498">
      <c r="A498" s="19">
        <v>498.0</v>
      </c>
      <c r="B498" s="47"/>
      <c r="C498" s="47"/>
      <c r="D498" s="47"/>
      <c r="E498" s="47"/>
      <c r="F498" s="47"/>
      <c r="G498" s="30"/>
      <c r="H498" s="30"/>
    </row>
    <row r="499">
      <c r="A499" s="19">
        <v>499.0</v>
      </c>
      <c r="B499" s="47"/>
      <c r="C499" s="47"/>
      <c r="D499" s="47"/>
      <c r="E499" s="47"/>
      <c r="F499" s="47"/>
      <c r="G499" s="30"/>
      <c r="H499" s="30"/>
    </row>
    <row r="500">
      <c r="A500" s="19">
        <v>500.0</v>
      </c>
      <c r="B500" s="47"/>
      <c r="C500" s="47"/>
      <c r="D500" s="47"/>
      <c r="E500" s="47"/>
      <c r="F500" s="47"/>
      <c r="G500" s="30"/>
      <c r="H500" s="30"/>
    </row>
    <row r="501">
      <c r="A501" s="19">
        <v>501.0</v>
      </c>
      <c r="B501" s="47"/>
      <c r="C501" s="47"/>
      <c r="D501" s="47"/>
      <c r="E501" s="47"/>
      <c r="F501" s="47"/>
      <c r="G501" s="30"/>
      <c r="H501" s="30"/>
    </row>
    <row r="502">
      <c r="A502" s="19">
        <v>502.0</v>
      </c>
      <c r="B502" s="47"/>
      <c r="C502" s="47"/>
      <c r="D502" s="47"/>
      <c r="E502" s="47"/>
      <c r="F502" s="47"/>
      <c r="G502" s="30"/>
      <c r="H502" s="30"/>
    </row>
    <row r="503">
      <c r="A503" s="19">
        <v>503.0</v>
      </c>
      <c r="B503" s="47"/>
      <c r="C503" s="47"/>
      <c r="D503" s="47"/>
      <c r="E503" s="47"/>
      <c r="F503" s="47"/>
      <c r="G503" s="30"/>
      <c r="H503" s="30"/>
    </row>
    <row r="504">
      <c r="A504" s="19">
        <v>504.0</v>
      </c>
      <c r="B504" s="47"/>
      <c r="C504" s="47"/>
      <c r="D504" s="47"/>
      <c r="E504" s="47"/>
      <c r="F504" s="47"/>
      <c r="G504" s="30"/>
      <c r="H504" s="30"/>
    </row>
    <row r="505">
      <c r="A505" s="19">
        <v>505.0</v>
      </c>
      <c r="B505" s="47"/>
      <c r="C505" s="47"/>
      <c r="D505" s="47"/>
      <c r="E505" s="47"/>
      <c r="F505" s="47"/>
      <c r="G505" s="30"/>
      <c r="H505" s="30"/>
    </row>
    <row r="506">
      <c r="A506" s="19">
        <v>506.0</v>
      </c>
      <c r="B506" s="47"/>
      <c r="C506" s="47"/>
      <c r="D506" s="47"/>
      <c r="E506" s="47"/>
      <c r="F506" s="47"/>
      <c r="G506" s="30"/>
      <c r="H506" s="30"/>
    </row>
    <row r="507">
      <c r="A507" s="19">
        <v>507.0</v>
      </c>
      <c r="B507" s="47"/>
      <c r="C507" s="47"/>
      <c r="D507" s="47"/>
      <c r="E507" s="47"/>
      <c r="F507" s="47"/>
      <c r="G507" s="30"/>
      <c r="H507" s="30"/>
    </row>
    <row r="508">
      <c r="A508" s="19">
        <v>508.0</v>
      </c>
      <c r="B508" s="47"/>
      <c r="C508" s="47"/>
      <c r="D508" s="47"/>
      <c r="E508" s="47"/>
      <c r="F508" s="47"/>
      <c r="G508" s="30"/>
      <c r="H508" s="30"/>
    </row>
    <row r="509">
      <c r="A509" s="19">
        <v>509.0</v>
      </c>
      <c r="B509" s="47"/>
      <c r="C509" s="47"/>
      <c r="D509" s="47"/>
      <c r="E509" s="47"/>
      <c r="F509" s="47"/>
      <c r="G509" s="30"/>
      <c r="H509" s="30"/>
    </row>
    <row r="510">
      <c r="A510" s="19">
        <v>510.0</v>
      </c>
      <c r="B510" s="47"/>
      <c r="C510" s="47"/>
      <c r="D510" s="47"/>
      <c r="E510" s="47"/>
      <c r="F510" s="47"/>
      <c r="G510" s="30"/>
      <c r="H510" s="30"/>
    </row>
    <row r="511">
      <c r="A511" s="19">
        <v>511.0</v>
      </c>
      <c r="B511" s="47"/>
      <c r="C511" s="47"/>
      <c r="D511" s="47"/>
      <c r="E511" s="47"/>
      <c r="F511" s="47"/>
      <c r="G511" s="30"/>
      <c r="H511" s="30"/>
    </row>
    <row r="512">
      <c r="A512" s="19">
        <v>512.0</v>
      </c>
      <c r="B512" s="47"/>
      <c r="C512" s="47"/>
      <c r="D512" s="47"/>
      <c r="E512" s="47"/>
      <c r="F512" s="47"/>
      <c r="G512" s="30"/>
      <c r="H512" s="30"/>
    </row>
    <row r="513">
      <c r="A513" s="19">
        <v>513.0</v>
      </c>
      <c r="B513" s="47"/>
      <c r="C513" s="47"/>
      <c r="D513" s="47"/>
      <c r="E513" s="47"/>
      <c r="F513" s="47"/>
      <c r="G513" s="30"/>
      <c r="H513" s="30"/>
    </row>
    <row r="514">
      <c r="A514" s="19">
        <v>514.0</v>
      </c>
      <c r="B514" s="47"/>
      <c r="C514" s="47"/>
      <c r="D514" s="47"/>
      <c r="E514" s="47"/>
      <c r="F514" s="47"/>
      <c r="G514" s="30"/>
      <c r="H514" s="30"/>
    </row>
    <row r="515">
      <c r="A515" s="19">
        <v>515.0</v>
      </c>
      <c r="B515" s="47"/>
      <c r="C515" s="47"/>
      <c r="D515" s="47"/>
      <c r="E515" s="47"/>
      <c r="F515" s="47"/>
      <c r="G515" s="30"/>
      <c r="H515" s="30"/>
    </row>
    <row r="516">
      <c r="A516" s="19">
        <v>516.0</v>
      </c>
      <c r="B516" s="47"/>
      <c r="C516" s="47"/>
      <c r="D516" s="47"/>
      <c r="E516" s="47"/>
      <c r="F516" s="47"/>
      <c r="G516" s="30"/>
      <c r="H516" s="30"/>
    </row>
    <row r="517">
      <c r="A517" s="19">
        <v>517.0</v>
      </c>
      <c r="B517" s="47"/>
      <c r="C517" s="47"/>
      <c r="D517" s="47"/>
      <c r="E517" s="47"/>
      <c r="F517" s="47"/>
      <c r="G517" s="30"/>
      <c r="H517" s="30"/>
    </row>
    <row r="518">
      <c r="A518" s="19">
        <v>518.0</v>
      </c>
      <c r="B518" s="47"/>
      <c r="C518" s="47"/>
      <c r="D518" s="47"/>
      <c r="E518" s="47"/>
      <c r="F518" s="47"/>
      <c r="G518" s="30"/>
      <c r="H518" s="30"/>
    </row>
    <row r="519">
      <c r="A519" s="19">
        <v>519.0</v>
      </c>
      <c r="B519" s="47"/>
      <c r="C519" s="47"/>
      <c r="D519" s="47"/>
      <c r="E519" s="47"/>
      <c r="F519" s="47"/>
      <c r="G519" s="30"/>
      <c r="H519" s="30"/>
    </row>
    <row r="520">
      <c r="A520" s="19">
        <v>520.0</v>
      </c>
      <c r="B520" s="47"/>
      <c r="C520" s="47"/>
      <c r="D520" s="47"/>
      <c r="E520" s="47"/>
      <c r="F520" s="47"/>
      <c r="G520" s="30"/>
      <c r="H520" s="30"/>
    </row>
    <row r="521">
      <c r="A521" s="19">
        <v>521.0</v>
      </c>
      <c r="B521" s="47"/>
      <c r="C521" s="47"/>
      <c r="D521" s="47"/>
      <c r="E521" s="47"/>
      <c r="F521" s="47"/>
      <c r="G521" s="30"/>
      <c r="H521" s="30"/>
    </row>
    <row r="522">
      <c r="A522" s="19">
        <v>522.0</v>
      </c>
      <c r="B522" s="47"/>
      <c r="C522" s="47"/>
      <c r="D522" s="47"/>
      <c r="E522" s="47"/>
      <c r="F522" s="47"/>
      <c r="G522" s="30"/>
      <c r="H522" s="30"/>
    </row>
    <row r="523">
      <c r="A523" s="19">
        <v>523.0</v>
      </c>
      <c r="B523" s="47"/>
      <c r="C523" s="47"/>
      <c r="D523" s="47"/>
      <c r="E523" s="47"/>
      <c r="F523" s="47"/>
      <c r="G523" s="30"/>
      <c r="H523" s="30"/>
    </row>
    <row r="524">
      <c r="A524" s="19">
        <v>524.0</v>
      </c>
      <c r="B524" s="47"/>
      <c r="C524" s="47"/>
      <c r="D524" s="47"/>
      <c r="E524" s="47"/>
      <c r="F524" s="47"/>
      <c r="G524" s="30"/>
      <c r="H524" s="30"/>
    </row>
    <row r="525">
      <c r="A525" s="19">
        <v>525.0</v>
      </c>
      <c r="B525" s="47"/>
      <c r="C525" s="47"/>
      <c r="D525" s="47"/>
      <c r="E525" s="47"/>
      <c r="F525" s="47"/>
      <c r="G525" s="30"/>
      <c r="H525" s="30"/>
    </row>
    <row r="526">
      <c r="A526" s="19">
        <v>526.0</v>
      </c>
      <c r="B526" s="47"/>
      <c r="C526" s="47"/>
      <c r="D526" s="47"/>
      <c r="E526" s="47"/>
      <c r="F526" s="47"/>
      <c r="G526" s="30"/>
      <c r="H526" s="30"/>
    </row>
    <row r="527">
      <c r="A527" s="19">
        <v>527.0</v>
      </c>
      <c r="B527" s="47"/>
      <c r="C527" s="47"/>
      <c r="D527" s="47"/>
      <c r="E527" s="47"/>
      <c r="F527" s="47"/>
      <c r="G527" s="30"/>
      <c r="H527" s="30"/>
    </row>
    <row r="528">
      <c r="A528" s="19">
        <v>528.0</v>
      </c>
      <c r="B528" s="47"/>
      <c r="C528" s="47"/>
      <c r="D528" s="47"/>
      <c r="E528" s="47"/>
      <c r="F528" s="47"/>
      <c r="G528" s="30"/>
      <c r="H528" s="30"/>
    </row>
    <row r="529">
      <c r="A529" s="19">
        <v>529.0</v>
      </c>
      <c r="B529" s="47"/>
      <c r="C529" s="47"/>
      <c r="D529" s="47"/>
      <c r="E529" s="47"/>
      <c r="F529" s="47"/>
      <c r="G529" s="30"/>
      <c r="H529" s="30"/>
    </row>
    <row r="530">
      <c r="A530" s="19">
        <v>530.0</v>
      </c>
      <c r="B530" s="47"/>
      <c r="C530" s="47"/>
      <c r="D530" s="47"/>
      <c r="E530" s="47"/>
      <c r="F530" s="47"/>
      <c r="G530" s="30"/>
      <c r="H530" s="30"/>
    </row>
    <row r="531">
      <c r="A531" s="19">
        <v>531.0</v>
      </c>
      <c r="B531" s="47"/>
      <c r="C531" s="47"/>
      <c r="D531" s="47"/>
      <c r="E531" s="47"/>
      <c r="F531" s="47"/>
      <c r="G531" s="30"/>
      <c r="H531" s="30"/>
    </row>
    <row r="532">
      <c r="A532" s="19">
        <v>532.0</v>
      </c>
      <c r="B532" s="47"/>
      <c r="C532" s="47"/>
      <c r="D532" s="47"/>
      <c r="E532" s="47"/>
      <c r="F532" s="47"/>
      <c r="G532" s="30"/>
      <c r="H532" s="30"/>
    </row>
    <row r="533">
      <c r="A533" s="19">
        <v>533.0</v>
      </c>
      <c r="B533" s="47"/>
      <c r="C533" s="47"/>
      <c r="D533" s="47"/>
      <c r="E533" s="47"/>
      <c r="F533" s="47"/>
      <c r="G533" s="30"/>
      <c r="H533" s="30"/>
    </row>
    <row r="534">
      <c r="A534" s="19">
        <v>534.0</v>
      </c>
      <c r="B534" s="47"/>
      <c r="C534" s="47"/>
      <c r="D534" s="47"/>
      <c r="E534" s="47"/>
      <c r="F534" s="47"/>
      <c r="G534" s="30"/>
      <c r="H534" s="30"/>
    </row>
    <row r="535">
      <c r="A535" s="19">
        <v>535.0</v>
      </c>
      <c r="B535" s="47"/>
      <c r="C535" s="47"/>
      <c r="D535" s="47"/>
      <c r="E535" s="47"/>
      <c r="F535" s="47"/>
      <c r="G535" s="30"/>
      <c r="H535" s="30"/>
    </row>
    <row r="536">
      <c r="A536" s="19">
        <v>536.0</v>
      </c>
      <c r="B536" s="47"/>
      <c r="C536" s="47"/>
      <c r="D536" s="47"/>
      <c r="E536" s="47"/>
      <c r="F536" s="47"/>
      <c r="G536" s="30"/>
      <c r="H536" s="30"/>
    </row>
    <row r="537">
      <c r="A537" s="19">
        <v>537.0</v>
      </c>
      <c r="B537" s="47"/>
      <c r="C537" s="47"/>
      <c r="D537" s="47"/>
      <c r="E537" s="47"/>
      <c r="F537" s="47"/>
      <c r="G537" s="30"/>
      <c r="H537" s="30"/>
    </row>
    <row r="538">
      <c r="A538" s="19">
        <v>538.0</v>
      </c>
      <c r="B538" s="47"/>
      <c r="C538" s="47"/>
      <c r="D538" s="47"/>
      <c r="E538" s="47"/>
      <c r="F538" s="47"/>
      <c r="G538" s="30"/>
      <c r="H538" s="30"/>
    </row>
    <row r="539">
      <c r="A539" s="19">
        <v>539.0</v>
      </c>
      <c r="B539" s="47"/>
      <c r="C539" s="47"/>
      <c r="D539" s="47"/>
      <c r="E539" s="47"/>
      <c r="F539" s="47"/>
      <c r="G539" s="30"/>
      <c r="H539" s="30"/>
    </row>
    <row r="540">
      <c r="A540" s="19">
        <v>540.0</v>
      </c>
      <c r="B540" s="47"/>
      <c r="C540" s="47"/>
      <c r="D540" s="47"/>
      <c r="E540" s="47"/>
      <c r="F540" s="47"/>
      <c r="G540" s="30"/>
      <c r="H540" s="30"/>
    </row>
    <row r="541">
      <c r="A541" s="19">
        <v>541.0</v>
      </c>
      <c r="B541" s="47"/>
      <c r="C541" s="47"/>
      <c r="D541" s="47"/>
      <c r="E541" s="47"/>
      <c r="F541" s="47"/>
      <c r="G541" s="30"/>
      <c r="H541" s="30"/>
    </row>
    <row r="542">
      <c r="A542" s="19">
        <v>542.0</v>
      </c>
      <c r="B542" s="47"/>
      <c r="C542" s="47"/>
      <c r="D542" s="47"/>
      <c r="E542" s="47"/>
      <c r="F542" s="47"/>
      <c r="G542" s="30"/>
      <c r="H542" s="30"/>
    </row>
    <row r="543">
      <c r="A543" s="19">
        <v>543.0</v>
      </c>
      <c r="B543" s="47"/>
      <c r="C543" s="47"/>
      <c r="D543" s="47"/>
      <c r="E543" s="47"/>
      <c r="F543" s="47"/>
      <c r="G543" s="30"/>
      <c r="H543" s="30"/>
    </row>
    <row r="544">
      <c r="A544" s="19">
        <v>544.0</v>
      </c>
      <c r="B544" s="47"/>
      <c r="C544" s="47"/>
      <c r="D544" s="47"/>
      <c r="E544" s="47"/>
      <c r="F544" s="47"/>
      <c r="G544" s="30"/>
      <c r="H544" s="30"/>
    </row>
    <row r="545">
      <c r="A545" s="19">
        <v>545.0</v>
      </c>
      <c r="B545" s="47"/>
      <c r="C545" s="47"/>
      <c r="D545" s="47"/>
      <c r="E545" s="47"/>
      <c r="F545" s="47"/>
      <c r="G545" s="30"/>
      <c r="H545" s="30"/>
    </row>
    <row r="546">
      <c r="A546" s="19">
        <v>546.0</v>
      </c>
      <c r="B546" s="47"/>
      <c r="C546" s="47"/>
      <c r="D546" s="47"/>
      <c r="E546" s="47"/>
      <c r="F546" s="47"/>
      <c r="G546" s="30"/>
      <c r="H546" s="30"/>
    </row>
    <row r="547">
      <c r="A547" s="19">
        <v>547.0</v>
      </c>
      <c r="B547" s="47"/>
      <c r="C547" s="47"/>
      <c r="D547" s="47"/>
      <c r="E547" s="47"/>
      <c r="F547" s="47"/>
      <c r="G547" s="30"/>
      <c r="H547" s="30"/>
    </row>
    <row r="548">
      <c r="A548" s="19">
        <v>548.0</v>
      </c>
      <c r="B548" s="47"/>
      <c r="C548" s="47"/>
      <c r="D548" s="47"/>
      <c r="E548" s="47"/>
      <c r="F548" s="47"/>
      <c r="G548" s="30"/>
      <c r="H548" s="30"/>
    </row>
    <row r="549">
      <c r="A549" s="19">
        <v>549.0</v>
      </c>
      <c r="B549" s="47"/>
      <c r="C549" s="47"/>
      <c r="D549" s="47"/>
      <c r="E549" s="47"/>
      <c r="F549" s="47"/>
      <c r="G549" s="30"/>
      <c r="H549" s="30"/>
    </row>
    <row r="550">
      <c r="A550" s="19">
        <v>550.0</v>
      </c>
      <c r="B550" s="47"/>
      <c r="C550" s="47"/>
      <c r="D550" s="47"/>
      <c r="E550" s="47"/>
      <c r="F550" s="47"/>
      <c r="G550" s="30"/>
      <c r="H550" s="30"/>
    </row>
    <row r="551">
      <c r="A551" s="19">
        <v>551.0</v>
      </c>
      <c r="B551" s="47"/>
      <c r="C551" s="47"/>
      <c r="D551" s="47"/>
      <c r="E551" s="47"/>
      <c r="F551" s="47"/>
      <c r="G551" s="30"/>
      <c r="H551" s="30"/>
    </row>
    <row r="552">
      <c r="A552" s="19">
        <v>552.0</v>
      </c>
      <c r="B552" s="47"/>
      <c r="C552" s="47"/>
      <c r="D552" s="47"/>
      <c r="E552" s="47"/>
      <c r="F552" s="47"/>
      <c r="G552" s="30"/>
      <c r="H552" s="30"/>
    </row>
    <row r="553">
      <c r="A553" s="19">
        <v>553.0</v>
      </c>
      <c r="B553" s="47"/>
      <c r="C553" s="47"/>
      <c r="D553" s="47"/>
      <c r="E553" s="47"/>
      <c r="F553" s="47"/>
      <c r="G553" s="30"/>
      <c r="H553" s="30"/>
    </row>
    <row r="554">
      <c r="A554" s="19">
        <v>554.0</v>
      </c>
      <c r="B554" s="47"/>
      <c r="C554" s="47"/>
      <c r="D554" s="47"/>
      <c r="E554" s="47"/>
      <c r="F554" s="47"/>
      <c r="G554" s="30"/>
      <c r="H554" s="30"/>
    </row>
    <row r="555">
      <c r="A555" s="19">
        <v>555.0</v>
      </c>
      <c r="B555" s="47"/>
      <c r="C555" s="47"/>
      <c r="D555" s="47"/>
      <c r="E555" s="47"/>
      <c r="F555" s="47"/>
      <c r="G555" s="30"/>
      <c r="H555" s="30"/>
    </row>
    <row r="556">
      <c r="A556" s="19">
        <v>556.0</v>
      </c>
      <c r="B556" s="47"/>
      <c r="C556" s="47"/>
      <c r="D556" s="47"/>
      <c r="E556" s="47"/>
      <c r="F556" s="47"/>
      <c r="G556" s="30"/>
      <c r="H556" s="30"/>
    </row>
    <row r="557">
      <c r="A557" s="19">
        <v>557.0</v>
      </c>
      <c r="B557" s="47"/>
      <c r="C557" s="47"/>
      <c r="D557" s="47"/>
      <c r="E557" s="47"/>
      <c r="F557" s="47"/>
      <c r="G557" s="30"/>
      <c r="H557" s="30"/>
    </row>
    <row r="558">
      <c r="A558" s="19">
        <v>558.0</v>
      </c>
      <c r="B558" s="47"/>
      <c r="C558" s="47"/>
      <c r="D558" s="47"/>
      <c r="E558" s="47"/>
      <c r="F558" s="47"/>
      <c r="G558" s="30"/>
      <c r="H558" s="30"/>
    </row>
    <row r="559">
      <c r="A559" s="19">
        <v>559.0</v>
      </c>
      <c r="B559" s="47"/>
      <c r="C559" s="47"/>
      <c r="D559" s="47"/>
      <c r="E559" s="47"/>
      <c r="F559" s="47"/>
      <c r="G559" s="30"/>
      <c r="H559" s="30"/>
    </row>
    <row r="560">
      <c r="A560" s="19">
        <v>560.0</v>
      </c>
      <c r="B560" s="47"/>
      <c r="C560" s="47"/>
      <c r="D560" s="47"/>
      <c r="E560" s="47"/>
      <c r="F560" s="47"/>
      <c r="G560" s="30"/>
      <c r="H560" s="30"/>
    </row>
    <row r="561">
      <c r="A561" s="19">
        <v>561.0</v>
      </c>
      <c r="B561" s="47"/>
      <c r="C561" s="47"/>
      <c r="D561" s="47"/>
      <c r="E561" s="47"/>
      <c r="F561" s="47"/>
      <c r="G561" s="30"/>
      <c r="H561" s="30"/>
    </row>
    <row r="562">
      <c r="A562" s="19">
        <v>562.0</v>
      </c>
      <c r="B562" s="47"/>
      <c r="C562" s="47"/>
      <c r="D562" s="47"/>
      <c r="E562" s="47"/>
      <c r="F562" s="47"/>
      <c r="G562" s="30"/>
      <c r="H562" s="30"/>
    </row>
    <row r="563">
      <c r="A563" s="19">
        <v>563.0</v>
      </c>
      <c r="B563" s="47"/>
      <c r="C563" s="47"/>
      <c r="D563" s="47"/>
      <c r="E563" s="47"/>
      <c r="F563" s="47"/>
      <c r="G563" s="30"/>
      <c r="H563" s="30"/>
    </row>
    <row r="564">
      <c r="A564" s="19">
        <v>564.0</v>
      </c>
      <c r="B564" s="47"/>
      <c r="C564" s="47"/>
      <c r="D564" s="47"/>
      <c r="E564" s="47"/>
      <c r="F564" s="47"/>
      <c r="G564" s="30"/>
      <c r="H564" s="30"/>
    </row>
    <row r="565">
      <c r="A565" s="19">
        <v>565.0</v>
      </c>
      <c r="B565" s="47"/>
      <c r="C565" s="47"/>
      <c r="D565" s="47"/>
      <c r="E565" s="47"/>
      <c r="F565" s="47"/>
      <c r="G565" s="30"/>
      <c r="H565" s="30"/>
    </row>
    <row r="566">
      <c r="A566" s="19">
        <v>566.0</v>
      </c>
      <c r="B566" s="47"/>
      <c r="C566" s="47"/>
      <c r="D566" s="47"/>
      <c r="E566" s="47"/>
      <c r="F566" s="47"/>
      <c r="G566" s="30"/>
      <c r="H566" s="30"/>
    </row>
    <row r="567">
      <c r="A567" s="19">
        <v>567.0</v>
      </c>
      <c r="B567" s="47"/>
      <c r="C567" s="47"/>
      <c r="D567" s="47"/>
      <c r="E567" s="47"/>
      <c r="F567" s="47"/>
      <c r="G567" s="30"/>
      <c r="H567" s="30"/>
    </row>
    <row r="568">
      <c r="A568" s="19">
        <v>568.0</v>
      </c>
      <c r="B568" s="47"/>
      <c r="C568" s="47"/>
      <c r="D568" s="47"/>
      <c r="E568" s="47"/>
      <c r="F568" s="47"/>
      <c r="G568" s="30"/>
      <c r="H568" s="30"/>
    </row>
    <row r="569">
      <c r="A569" s="19">
        <v>569.0</v>
      </c>
      <c r="B569" s="47"/>
      <c r="C569" s="47"/>
      <c r="D569" s="47"/>
      <c r="E569" s="47"/>
      <c r="F569" s="47"/>
      <c r="G569" s="30"/>
      <c r="H569" s="30"/>
    </row>
    <row r="570">
      <c r="A570" s="19">
        <v>570.0</v>
      </c>
      <c r="B570" s="47"/>
      <c r="C570" s="47"/>
      <c r="D570" s="47"/>
      <c r="E570" s="47"/>
      <c r="F570" s="47"/>
      <c r="G570" s="30"/>
      <c r="H570" s="30"/>
    </row>
    <row r="571">
      <c r="A571" s="19">
        <v>571.0</v>
      </c>
      <c r="B571" s="47"/>
      <c r="C571" s="47"/>
      <c r="D571" s="47"/>
      <c r="E571" s="47"/>
      <c r="F571" s="47"/>
      <c r="G571" s="30"/>
      <c r="H571" s="30"/>
    </row>
    <row r="572">
      <c r="A572" s="19">
        <v>572.0</v>
      </c>
      <c r="B572" s="47"/>
      <c r="C572" s="47"/>
      <c r="D572" s="47"/>
      <c r="E572" s="47"/>
      <c r="F572" s="47"/>
      <c r="G572" s="30"/>
      <c r="H572" s="30"/>
    </row>
    <row r="573">
      <c r="A573" s="19">
        <v>573.0</v>
      </c>
      <c r="B573" s="47"/>
      <c r="C573" s="47"/>
      <c r="D573" s="47"/>
      <c r="E573" s="47"/>
      <c r="F573" s="47"/>
      <c r="G573" s="30"/>
      <c r="H573" s="30"/>
    </row>
    <row r="574">
      <c r="A574" s="19">
        <v>574.0</v>
      </c>
      <c r="B574" s="47"/>
      <c r="C574" s="47"/>
      <c r="D574" s="47"/>
      <c r="E574" s="47"/>
      <c r="F574" s="47"/>
      <c r="G574" s="30"/>
      <c r="H574" s="30"/>
    </row>
    <row r="575">
      <c r="A575" s="19">
        <v>575.0</v>
      </c>
      <c r="B575" s="47"/>
      <c r="C575" s="47"/>
      <c r="D575" s="47"/>
      <c r="E575" s="47"/>
      <c r="F575" s="47"/>
      <c r="G575" s="30"/>
      <c r="H575" s="30"/>
    </row>
    <row r="576">
      <c r="A576" s="19">
        <v>576.0</v>
      </c>
      <c r="B576" s="47"/>
      <c r="C576" s="47"/>
      <c r="D576" s="47"/>
      <c r="E576" s="47"/>
      <c r="F576" s="47"/>
      <c r="G576" s="30"/>
      <c r="H576" s="30"/>
    </row>
    <row r="577">
      <c r="A577" s="19">
        <v>577.0</v>
      </c>
      <c r="B577" s="47"/>
      <c r="C577" s="47"/>
      <c r="D577" s="47"/>
      <c r="E577" s="47"/>
      <c r="F577" s="47"/>
      <c r="G577" s="30"/>
      <c r="H577" s="30"/>
    </row>
    <row r="578">
      <c r="A578" s="19">
        <v>578.0</v>
      </c>
      <c r="B578" s="47"/>
      <c r="C578" s="47"/>
      <c r="D578" s="47"/>
      <c r="E578" s="47"/>
      <c r="F578" s="47"/>
      <c r="G578" s="30"/>
      <c r="H578" s="30"/>
    </row>
    <row r="579">
      <c r="A579" s="19">
        <v>579.0</v>
      </c>
      <c r="B579" s="47"/>
      <c r="C579" s="47"/>
      <c r="D579" s="47"/>
      <c r="E579" s="47"/>
      <c r="F579" s="47"/>
      <c r="G579" s="30"/>
      <c r="H579" s="30"/>
    </row>
    <row r="580">
      <c r="A580" s="19">
        <v>580.0</v>
      </c>
      <c r="B580" s="47"/>
      <c r="C580" s="47"/>
      <c r="D580" s="47"/>
      <c r="E580" s="47"/>
      <c r="F580" s="47"/>
      <c r="G580" s="30"/>
      <c r="H580" s="30"/>
    </row>
    <row r="581">
      <c r="A581" s="19">
        <v>581.0</v>
      </c>
      <c r="B581" s="47"/>
      <c r="C581" s="47"/>
      <c r="D581" s="47"/>
      <c r="E581" s="47"/>
      <c r="F581" s="47"/>
      <c r="G581" s="30"/>
      <c r="H581" s="30"/>
    </row>
    <row r="582">
      <c r="A582" s="19">
        <v>582.0</v>
      </c>
      <c r="B582" s="47"/>
      <c r="C582" s="47"/>
      <c r="D582" s="47"/>
      <c r="E582" s="47"/>
      <c r="F582" s="47"/>
      <c r="G582" s="30"/>
      <c r="H582" s="30"/>
    </row>
    <row r="583">
      <c r="A583" s="19">
        <v>583.0</v>
      </c>
      <c r="B583" s="47"/>
      <c r="C583" s="47"/>
      <c r="D583" s="47"/>
      <c r="E583" s="47"/>
      <c r="F583" s="47"/>
      <c r="G583" s="30"/>
      <c r="H583" s="30"/>
    </row>
    <row r="584">
      <c r="A584" s="19">
        <v>584.0</v>
      </c>
      <c r="B584" s="47"/>
      <c r="C584" s="47"/>
      <c r="D584" s="47"/>
      <c r="E584" s="47"/>
      <c r="F584" s="47"/>
      <c r="G584" s="30"/>
      <c r="H584" s="30"/>
    </row>
    <row r="585">
      <c r="A585" s="19">
        <v>585.0</v>
      </c>
      <c r="B585" s="47"/>
      <c r="C585" s="47"/>
      <c r="D585" s="47"/>
      <c r="E585" s="47"/>
      <c r="F585" s="47"/>
      <c r="G585" s="30"/>
      <c r="H585" s="30"/>
    </row>
    <row r="586">
      <c r="A586" s="19">
        <v>586.0</v>
      </c>
      <c r="B586" s="47"/>
      <c r="C586" s="47"/>
      <c r="D586" s="47"/>
      <c r="E586" s="47"/>
      <c r="F586" s="47"/>
      <c r="G586" s="30"/>
      <c r="H586" s="30"/>
    </row>
    <row r="587">
      <c r="A587" s="19">
        <v>587.0</v>
      </c>
      <c r="B587" s="47"/>
      <c r="C587" s="47"/>
      <c r="D587" s="47"/>
      <c r="E587" s="47"/>
      <c r="F587" s="47"/>
      <c r="G587" s="30"/>
      <c r="H587" s="30"/>
    </row>
    <row r="588">
      <c r="A588" s="19">
        <v>588.0</v>
      </c>
      <c r="B588" s="47"/>
      <c r="C588" s="47"/>
      <c r="D588" s="47"/>
      <c r="E588" s="47"/>
      <c r="F588" s="47"/>
      <c r="G588" s="30"/>
      <c r="H588" s="30"/>
    </row>
    <row r="589">
      <c r="A589" s="19">
        <v>589.0</v>
      </c>
      <c r="B589" s="47"/>
      <c r="C589" s="47"/>
      <c r="D589" s="47"/>
      <c r="E589" s="47"/>
      <c r="F589" s="47"/>
      <c r="G589" s="30"/>
      <c r="H589" s="30"/>
    </row>
    <row r="590">
      <c r="A590" s="19">
        <v>590.0</v>
      </c>
      <c r="B590" s="47"/>
      <c r="C590" s="47"/>
      <c r="D590" s="47"/>
      <c r="E590" s="47"/>
      <c r="F590" s="47"/>
      <c r="G590" s="30"/>
      <c r="H590" s="30"/>
    </row>
    <row r="591">
      <c r="A591" s="19">
        <v>591.0</v>
      </c>
      <c r="B591" s="47"/>
      <c r="C591" s="47"/>
      <c r="D591" s="47"/>
      <c r="E591" s="47"/>
      <c r="F591" s="47"/>
      <c r="G591" s="30"/>
      <c r="H591" s="30"/>
    </row>
    <row r="592">
      <c r="A592" s="19">
        <v>592.0</v>
      </c>
      <c r="B592" s="47"/>
      <c r="C592" s="47"/>
      <c r="D592" s="47"/>
      <c r="E592" s="47"/>
      <c r="F592" s="47"/>
      <c r="G592" s="30"/>
      <c r="H592" s="30"/>
    </row>
    <row r="593">
      <c r="A593" s="19">
        <v>593.0</v>
      </c>
      <c r="B593" s="47"/>
      <c r="C593" s="47"/>
      <c r="D593" s="47"/>
      <c r="E593" s="47"/>
      <c r="F593" s="47"/>
      <c r="G593" s="30"/>
      <c r="H593" s="30"/>
    </row>
    <row r="594">
      <c r="A594" s="19">
        <v>594.0</v>
      </c>
      <c r="B594" s="47"/>
      <c r="C594" s="47"/>
      <c r="D594" s="47"/>
      <c r="E594" s="47"/>
      <c r="F594" s="47"/>
      <c r="G594" s="30"/>
      <c r="H594" s="30"/>
    </row>
    <row r="595">
      <c r="A595" s="19">
        <v>595.0</v>
      </c>
      <c r="B595" s="47"/>
      <c r="C595" s="47"/>
      <c r="D595" s="47"/>
      <c r="E595" s="47"/>
      <c r="F595" s="47"/>
      <c r="G595" s="30"/>
      <c r="H595" s="30"/>
    </row>
    <row r="596">
      <c r="A596" s="19">
        <v>596.0</v>
      </c>
      <c r="B596" s="47"/>
      <c r="C596" s="47"/>
      <c r="D596" s="47"/>
      <c r="E596" s="47"/>
      <c r="F596" s="47"/>
      <c r="G596" s="30"/>
      <c r="H596" s="30"/>
    </row>
    <row r="597">
      <c r="A597" s="19">
        <v>597.0</v>
      </c>
      <c r="B597" s="47"/>
      <c r="C597" s="47"/>
      <c r="D597" s="47"/>
      <c r="E597" s="47"/>
      <c r="F597" s="47"/>
      <c r="G597" s="30"/>
      <c r="H597" s="30"/>
    </row>
    <row r="598">
      <c r="A598" s="19">
        <v>598.0</v>
      </c>
      <c r="B598" s="47"/>
      <c r="C598" s="47"/>
      <c r="D598" s="47"/>
      <c r="E598" s="47"/>
      <c r="F598" s="47"/>
      <c r="G598" s="30"/>
      <c r="H598" s="30"/>
    </row>
    <row r="599">
      <c r="A599" s="19">
        <v>599.0</v>
      </c>
      <c r="B599" s="47"/>
      <c r="C599" s="47"/>
      <c r="D599" s="47"/>
      <c r="E599" s="47"/>
      <c r="F599" s="47"/>
      <c r="G599" s="30"/>
      <c r="H599" s="30"/>
    </row>
    <row r="600">
      <c r="A600" s="19">
        <v>600.0</v>
      </c>
      <c r="B600" s="47"/>
      <c r="C600" s="47"/>
      <c r="D600" s="47"/>
      <c r="E600" s="47"/>
      <c r="F600" s="47"/>
      <c r="G600" s="30"/>
      <c r="H600" s="30"/>
    </row>
    <row r="601">
      <c r="A601" s="19">
        <v>601.0</v>
      </c>
      <c r="B601" s="47"/>
      <c r="C601" s="47"/>
      <c r="D601" s="47"/>
      <c r="E601" s="47"/>
      <c r="F601" s="47"/>
      <c r="G601" s="30"/>
      <c r="H601" s="30"/>
    </row>
    <row r="602">
      <c r="A602" s="19">
        <v>602.0</v>
      </c>
      <c r="B602" s="47"/>
      <c r="C602" s="47"/>
      <c r="D602" s="47"/>
      <c r="E602" s="47"/>
      <c r="F602" s="47"/>
      <c r="G602" s="30"/>
      <c r="H602" s="30"/>
    </row>
    <row r="603">
      <c r="A603" s="19">
        <v>603.0</v>
      </c>
      <c r="B603" s="47"/>
      <c r="C603" s="47"/>
      <c r="D603" s="47"/>
      <c r="E603" s="47"/>
      <c r="F603" s="47"/>
      <c r="G603" s="30"/>
      <c r="H603" s="30"/>
    </row>
    <row r="604">
      <c r="A604" s="19">
        <v>604.0</v>
      </c>
      <c r="B604" s="47"/>
      <c r="C604" s="47"/>
      <c r="D604" s="47"/>
      <c r="E604" s="47"/>
      <c r="F604" s="47"/>
      <c r="G604" s="30"/>
      <c r="H604" s="30"/>
    </row>
    <row r="605">
      <c r="A605" s="19">
        <v>605.0</v>
      </c>
      <c r="B605" s="47"/>
      <c r="C605" s="47"/>
      <c r="D605" s="47"/>
      <c r="E605" s="47"/>
      <c r="F605" s="47"/>
      <c r="G605" s="30"/>
      <c r="H605" s="30"/>
    </row>
    <row r="606">
      <c r="A606" s="19">
        <v>606.0</v>
      </c>
      <c r="B606" s="47"/>
      <c r="C606" s="47"/>
      <c r="D606" s="47"/>
      <c r="E606" s="47"/>
      <c r="F606" s="47"/>
      <c r="G606" s="30"/>
      <c r="H606" s="30"/>
    </row>
    <row r="607">
      <c r="A607" s="19">
        <v>607.0</v>
      </c>
      <c r="B607" s="47"/>
      <c r="C607" s="47"/>
      <c r="D607" s="47"/>
      <c r="E607" s="47"/>
      <c r="F607" s="47"/>
      <c r="G607" s="30"/>
      <c r="H607" s="30"/>
    </row>
    <row r="608">
      <c r="A608" s="19">
        <v>608.0</v>
      </c>
      <c r="B608" s="47"/>
      <c r="C608" s="47"/>
      <c r="D608" s="47"/>
      <c r="E608" s="47"/>
      <c r="F608" s="47"/>
      <c r="G608" s="30"/>
      <c r="H608" s="30"/>
    </row>
    <row r="609">
      <c r="A609" s="19">
        <v>609.0</v>
      </c>
      <c r="B609" s="47"/>
      <c r="C609" s="47"/>
      <c r="D609" s="47"/>
      <c r="E609" s="47"/>
      <c r="F609" s="47"/>
      <c r="G609" s="30"/>
      <c r="H609" s="30"/>
    </row>
    <row r="610">
      <c r="A610" s="19">
        <v>610.0</v>
      </c>
      <c r="B610" s="47"/>
      <c r="C610" s="47"/>
      <c r="D610" s="47"/>
      <c r="E610" s="47"/>
      <c r="F610" s="47"/>
      <c r="G610" s="30"/>
      <c r="H610" s="30"/>
    </row>
    <row r="611">
      <c r="A611" s="19">
        <v>611.0</v>
      </c>
      <c r="B611" s="47"/>
      <c r="C611" s="47"/>
      <c r="D611" s="47"/>
      <c r="E611" s="47"/>
      <c r="F611" s="47"/>
      <c r="G611" s="30"/>
      <c r="H611" s="30"/>
    </row>
    <row r="612">
      <c r="A612" s="19">
        <v>612.0</v>
      </c>
      <c r="B612" s="47"/>
      <c r="C612" s="47"/>
      <c r="D612" s="47"/>
      <c r="E612" s="47"/>
      <c r="F612" s="47"/>
      <c r="G612" s="30"/>
      <c r="H612" s="30"/>
    </row>
    <row r="613">
      <c r="A613" s="19">
        <v>613.0</v>
      </c>
      <c r="B613" s="47"/>
      <c r="C613" s="47"/>
      <c r="D613" s="47"/>
      <c r="E613" s="47"/>
      <c r="F613" s="47"/>
      <c r="G613" s="30"/>
      <c r="H613" s="30"/>
    </row>
    <row r="614">
      <c r="A614" s="19">
        <v>614.0</v>
      </c>
      <c r="B614" s="47"/>
      <c r="C614" s="47"/>
      <c r="D614" s="47"/>
      <c r="E614" s="47"/>
      <c r="F614" s="47"/>
      <c r="G614" s="30"/>
      <c r="H614" s="30"/>
    </row>
    <row r="615">
      <c r="A615" s="19">
        <v>615.0</v>
      </c>
      <c r="B615" s="47"/>
      <c r="C615" s="47"/>
      <c r="D615" s="47"/>
      <c r="E615" s="47"/>
      <c r="F615" s="47"/>
      <c r="G615" s="30"/>
      <c r="H615" s="30"/>
    </row>
    <row r="616">
      <c r="A616" s="19">
        <v>616.0</v>
      </c>
      <c r="B616" s="47"/>
      <c r="C616" s="47"/>
      <c r="D616" s="47"/>
      <c r="E616" s="47"/>
      <c r="F616" s="47"/>
      <c r="G616" s="30"/>
      <c r="H616" s="30"/>
    </row>
    <row r="617">
      <c r="A617" s="19">
        <v>617.0</v>
      </c>
      <c r="B617" s="47"/>
      <c r="C617" s="47"/>
      <c r="D617" s="47"/>
      <c r="E617" s="47"/>
      <c r="F617" s="47"/>
      <c r="G617" s="30"/>
      <c r="H617" s="30"/>
    </row>
    <row r="618">
      <c r="A618" s="19">
        <v>618.0</v>
      </c>
      <c r="B618" s="47"/>
      <c r="C618" s="47"/>
      <c r="D618" s="47"/>
      <c r="E618" s="47"/>
      <c r="F618" s="47"/>
      <c r="G618" s="30"/>
      <c r="H618" s="30"/>
    </row>
    <row r="619">
      <c r="A619" s="19">
        <v>619.0</v>
      </c>
      <c r="B619" s="47"/>
      <c r="C619" s="47"/>
      <c r="D619" s="47"/>
      <c r="E619" s="47"/>
      <c r="F619" s="47"/>
      <c r="G619" s="30"/>
      <c r="H619" s="30"/>
    </row>
    <row r="620">
      <c r="A620" s="19">
        <v>620.0</v>
      </c>
      <c r="B620" s="47"/>
      <c r="C620" s="47"/>
      <c r="D620" s="47"/>
      <c r="E620" s="47"/>
      <c r="F620" s="47"/>
      <c r="G620" s="30"/>
      <c r="H620" s="30"/>
    </row>
    <row r="621">
      <c r="A621" s="19">
        <v>621.0</v>
      </c>
      <c r="B621" s="47"/>
      <c r="C621" s="47"/>
      <c r="D621" s="47"/>
      <c r="E621" s="47"/>
      <c r="F621" s="47"/>
      <c r="G621" s="30"/>
      <c r="H621" s="30"/>
    </row>
    <row r="622">
      <c r="A622" s="19">
        <v>622.0</v>
      </c>
      <c r="B622" s="47"/>
      <c r="C622" s="47"/>
      <c r="D622" s="47"/>
      <c r="E622" s="47"/>
      <c r="F622" s="47"/>
      <c r="G622" s="30"/>
      <c r="H622" s="30"/>
    </row>
    <row r="623">
      <c r="A623" s="19">
        <v>623.0</v>
      </c>
      <c r="B623" s="47"/>
      <c r="C623" s="47"/>
      <c r="D623" s="47"/>
      <c r="E623" s="47"/>
      <c r="F623" s="47"/>
      <c r="G623" s="30"/>
      <c r="H623" s="30"/>
    </row>
    <row r="624">
      <c r="A624" s="19">
        <v>624.0</v>
      </c>
      <c r="B624" s="47"/>
      <c r="C624" s="47"/>
      <c r="D624" s="47"/>
      <c r="E624" s="47"/>
      <c r="F624" s="47"/>
      <c r="G624" s="30"/>
      <c r="H624" s="30"/>
    </row>
    <row r="625">
      <c r="A625" s="19">
        <v>625.0</v>
      </c>
      <c r="B625" s="47"/>
      <c r="C625" s="47"/>
      <c r="D625" s="47"/>
      <c r="E625" s="47"/>
      <c r="F625" s="47"/>
      <c r="G625" s="30"/>
      <c r="H625" s="30"/>
    </row>
    <row r="626">
      <c r="A626" s="19">
        <v>626.0</v>
      </c>
      <c r="B626" s="47"/>
      <c r="C626" s="47"/>
      <c r="D626" s="47"/>
      <c r="E626" s="47"/>
      <c r="F626" s="47"/>
      <c r="G626" s="30"/>
      <c r="H626" s="30"/>
    </row>
    <row r="627">
      <c r="A627" s="19">
        <v>627.0</v>
      </c>
      <c r="B627" s="47"/>
      <c r="C627" s="47"/>
      <c r="D627" s="47"/>
      <c r="E627" s="47"/>
      <c r="F627" s="47"/>
      <c r="G627" s="30"/>
      <c r="H627" s="30"/>
    </row>
    <row r="628">
      <c r="A628" s="19">
        <v>628.0</v>
      </c>
      <c r="B628" s="47"/>
      <c r="C628" s="47"/>
      <c r="D628" s="47"/>
      <c r="E628" s="47"/>
      <c r="F628" s="47"/>
      <c r="G628" s="30"/>
      <c r="H628" s="30"/>
    </row>
    <row r="629">
      <c r="A629" s="19">
        <v>629.0</v>
      </c>
      <c r="B629" s="47"/>
      <c r="C629" s="47"/>
      <c r="D629" s="47"/>
      <c r="E629" s="47"/>
      <c r="F629" s="47"/>
      <c r="G629" s="30"/>
      <c r="H629" s="30"/>
    </row>
    <row r="630">
      <c r="A630" s="19">
        <v>630.0</v>
      </c>
      <c r="B630" s="47"/>
      <c r="C630" s="47"/>
      <c r="D630" s="47"/>
      <c r="E630" s="47"/>
      <c r="F630" s="47"/>
      <c r="G630" s="30"/>
      <c r="H630" s="30"/>
    </row>
    <row r="631">
      <c r="A631" s="19">
        <v>631.0</v>
      </c>
      <c r="B631" s="47"/>
      <c r="C631" s="47"/>
      <c r="D631" s="47"/>
      <c r="E631" s="47"/>
      <c r="F631" s="47"/>
      <c r="G631" s="30"/>
      <c r="H631" s="30"/>
    </row>
    <row r="632">
      <c r="A632" s="19">
        <v>632.0</v>
      </c>
      <c r="B632" s="47"/>
      <c r="C632" s="47"/>
      <c r="D632" s="47"/>
      <c r="E632" s="47"/>
      <c r="F632" s="47"/>
      <c r="G632" s="30"/>
      <c r="H632" s="30"/>
    </row>
    <row r="633">
      <c r="A633" s="19">
        <v>633.0</v>
      </c>
      <c r="B633" s="47"/>
      <c r="C633" s="47"/>
      <c r="D633" s="47"/>
      <c r="E633" s="47"/>
      <c r="F633" s="47"/>
      <c r="G633" s="30"/>
      <c r="H633" s="30"/>
    </row>
    <row r="634">
      <c r="A634" s="19">
        <v>634.0</v>
      </c>
      <c r="B634" s="47"/>
      <c r="C634" s="47"/>
      <c r="D634" s="47"/>
      <c r="E634" s="47"/>
      <c r="F634" s="47"/>
      <c r="G634" s="30"/>
      <c r="H634" s="30"/>
    </row>
    <row r="635">
      <c r="A635" s="19">
        <v>635.0</v>
      </c>
      <c r="B635" s="47"/>
      <c r="C635" s="47"/>
      <c r="D635" s="47"/>
      <c r="E635" s="47"/>
      <c r="F635" s="47"/>
      <c r="G635" s="30"/>
      <c r="H635" s="30"/>
    </row>
    <row r="636">
      <c r="A636" s="19">
        <v>636.0</v>
      </c>
      <c r="B636" s="47"/>
      <c r="C636" s="47"/>
      <c r="D636" s="47"/>
      <c r="E636" s="47"/>
      <c r="F636" s="47"/>
      <c r="G636" s="30"/>
      <c r="H636" s="30"/>
    </row>
    <row r="637">
      <c r="A637" s="19">
        <v>637.0</v>
      </c>
      <c r="B637" s="47"/>
      <c r="C637" s="47"/>
      <c r="D637" s="47"/>
      <c r="E637" s="47"/>
      <c r="F637" s="47"/>
      <c r="G637" s="30"/>
      <c r="H637" s="30"/>
    </row>
    <row r="638">
      <c r="A638" s="19">
        <v>638.0</v>
      </c>
      <c r="B638" s="47"/>
      <c r="C638" s="47"/>
      <c r="D638" s="47"/>
      <c r="E638" s="47"/>
      <c r="F638" s="47"/>
      <c r="G638" s="30"/>
      <c r="H638" s="30"/>
    </row>
    <row r="639">
      <c r="A639" s="19">
        <v>639.0</v>
      </c>
      <c r="B639" s="47"/>
      <c r="C639" s="47"/>
      <c r="D639" s="47"/>
      <c r="E639" s="47"/>
      <c r="F639" s="47"/>
      <c r="G639" s="30"/>
      <c r="H639" s="30"/>
    </row>
    <row r="640">
      <c r="A640" s="19">
        <v>640.0</v>
      </c>
      <c r="B640" s="47"/>
      <c r="C640" s="47"/>
      <c r="D640" s="47"/>
      <c r="E640" s="47"/>
      <c r="F640" s="47"/>
      <c r="G640" s="30"/>
      <c r="H640" s="30"/>
    </row>
    <row r="641">
      <c r="A641" s="19">
        <v>641.0</v>
      </c>
      <c r="B641" s="47"/>
      <c r="C641" s="47"/>
      <c r="D641" s="47"/>
      <c r="E641" s="47"/>
      <c r="F641" s="47"/>
      <c r="G641" s="30"/>
      <c r="H641" s="30"/>
    </row>
    <row r="642">
      <c r="A642" s="19">
        <v>642.0</v>
      </c>
      <c r="B642" s="47"/>
      <c r="C642" s="47"/>
      <c r="D642" s="47"/>
      <c r="E642" s="47"/>
      <c r="F642" s="47"/>
      <c r="G642" s="30"/>
      <c r="H642" s="30"/>
    </row>
    <row r="643">
      <c r="A643" s="19">
        <v>643.0</v>
      </c>
      <c r="B643" s="47"/>
      <c r="C643" s="47"/>
      <c r="D643" s="47"/>
      <c r="E643" s="47"/>
      <c r="F643" s="47"/>
      <c r="G643" s="30"/>
      <c r="H643" s="30"/>
    </row>
    <row r="644">
      <c r="A644" s="19">
        <v>644.0</v>
      </c>
      <c r="B644" s="47"/>
      <c r="C644" s="47"/>
      <c r="D644" s="47"/>
      <c r="E644" s="47"/>
      <c r="F644" s="47"/>
      <c r="G644" s="30"/>
      <c r="H644" s="30"/>
    </row>
    <row r="645">
      <c r="A645" s="19">
        <v>645.0</v>
      </c>
      <c r="B645" s="47"/>
      <c r="C645" s="47"/>
      <c r="D645" s="47"/>
      <c r="E645" s="47"/>
      <c r="F645" s="47"/>
      <c r="G645" s="30"/>
      <c r="H645" s="30"/>
    </row>
    <row r="646">
      <c r="A646" s="19">
        <v>646.0</v>
      </c>
      <c r="B646" s="47"/>
      <c r="C646" s="47"/>
      <c r="D646" s="47"/>
      <c r="E646" s="47"/>
      <c r="F646" s="47"/>
      <c r="G646" s="30"/>
      <c r="H646" s="30"/>
    </row>
    <row r="647">
      <c r="A647" s="19">
        <v>647.0</v>
      </c>
      <c r="B647" s="47"/>
      <c r="C647" s="47"/>
      <c r="D647" s="47"/>
      <c r="E647" s="47"/>
      <c r="F647" s="47"/>
      <c r="G647" s="30"/>
      <c r="H647" s="30"/>
    </row>
    <row r="648">
      <c r="A648" s="19">
        <v>648.0</v>
      </c>
      <c r="B648" s="47"/>
      <c r="C648" s="47"/>
      <c r="D648" s="47"/>
      <c r="E648" s="47"/>
      <c r="F648" s="47"/>
      <c r="G648" s="30"/>
      <c r="H648" s="30"/>
    </row>
    <row r="649">
      <c r="A649" s="19">
        <v>649.0</v>
      </c>
      <c r="B649" s="47"/>
      <c r="C649" s="47"/>
      <c r="D649" s="47"/>
      <c r="E649" s="47"/>
      <c r="F649" s="47"/>
      <c r="G649" s="30"/>
      <c r="H649" s="30"/>
    </row>
    <row r="650">
      <c r="A650" s="19">
        <v>650.0</v>
      </c>
      <c r="B650" s="47"/>
      <c r="C650" s="47"/>
      <c r="D650" s="47"/>
      <c r="E650" s="47"/>
      <c r="F650" s="47"/>
      <c r="G650" s="30"/>
      <c r="H650" s="30"/>
    </row>
    <row r="651">
      <c r="A651" s="19">
        <v>651.0</v>
      </c>
      <c r="B651" s="47"/>
      <c r="C651" s="47"/>
      <c r="D651" s="47"/>
      <c r="E651" s="47"/>
      <c r="F651" s="47"/>
      <c r="G651" s="30"/>
      <c r="H651" s="30"/>
    </row>
    <row r="652">
      <c r="A652" s="19">
        <v>652.0</v>
      </c>
      <c r="B652" s="47"/>
      <c r="C652" s="47"/>
      <c r="D652" s="47"/>
      <c r="E652" s="47"/>
      <c r="F652" s="47"/>
      <c r="G652" s="30"/>
      <c r="H652" s="30"/>
    </row>
    <row r="653">
      <c r="A653" s="19">
        <v>653.0</v>
      </c>
      <c r="B653" s="47"/>
      <c r="C653" s="47"/>
      <c r="D653" s="47"/>
      <c r="E653" s="47"/>
      <c r="F653" s="47"/>
      <c r="G653" s="30"/>
      <c r="H653" s="30"/>
    </row>
    <row r="654">
      <c r="A654" s="19">
        <v>654.0</v>
      </c>
      <c r="B654" s="47"/>
      <c r="C654" s="47"/>
      <c r="D654" s="47"/>
      <c r="E654" s="47"/>
      <c r="F654" s="47"/>
      <c r="G654" s="30"/>
      <c r="H654" s="30"/>
    </row>
    <row r="655">
      <c r="A655" s="19">
        <v>655.0</v>
      </c>
      <c r="B655" s="47"/>
      <c r="C655" s="47"/>
      <c r="D655" s="47"/>
      <c r="E655" s="47"/>
      <c r="F655" s="47"/>
      <c r="G655" s="30"/>
      <c r="H655" s="30"/>
    </row>
    <row r="656">
      <c r="A656" s="19">
        <v>656.0</v>
      </c>
      <c r="B656" s="47"/>
      <c r="C656" s="47"/>
      <c r="D656" s="47"/>
      <c r="E656" s="47"/>
      <c r="F656" s="47"/>
      <c r="G656" s="30"/>
      <c r="H656" s="30"/>
    </row>
    <row r="657">
      <c r="A657" s="19">
        <v>657.0</v>
      </c>
      <c r="B657" s="47"/>
      <c r="C657" s="47"/>
      <c r="D657" s="47"/>
      <c r="E657" s="47"/>
      <c r="F657" s="47"/>
      <c r="G657" s="30"/>
      <c r="H657" s="30"/>
    </row>
    <row r="658">
      <c r="A658" s="19">
        <v>658.0</v>
      </c>
      <c r="B658" s="47"/>
      <c r="C658" s="47"/>
      <c r="D658" s="47"/>
      <c r="E658" s="47"/>
      <c r="F658" s="47"/>
      <c r="G658" s="30"/>
      <c r="H658" s="30"/>
    </row>
    <row r="659">
      <c r="A659" s="19">
        <v>659.0</v>
      </c>
      <c r="B659" s="47"/>
      <c r="C659" s="47"/>
      <c r="D659" s="47"/>
      <c r="E659" s="47"/>
      <c r="F659" s="47"/>
      <c r="G659" s="30"/>
      <c r="H659" s="30"/>
    </row>
    <row r="660">
      <c r="A660" s="19">
        <v>660.0</v>
      </c>
      <c r="B660" s="47"/>
      <c r="C660" s="47"/>
      <c r="D660" s="47"/>
      <c r="E660" s="47"/>
      <c r="F660" s="47"/>
      <c r="G660" s="30"/>
      <c r="H660" s="30"/>
    </row>
    <row r="661">
      <c r="A661" s="19">
        <v>661.0</v>
      </c>
      <c r="B661" s="47"/>
      <c r="C661" s="47"/>
      <c r="D661" s="47"/>
      <c r="E661" s="47"/>
      <c r="F661" s="47"/>
      <c r="G661" s="30"/>
      <c r="H661" s="30"/>
    </row>
    <row r="662">
      <c r="A662" s="19">
        <v>662.0</v>
      </c>
      <c r="B662" s="47"/>
      <c r="C662" s="47"/>
      <c r="D662" s="47"/>
      <c r="E662" s="47"/>
      <c r="F662" s="47"/>
      <c r="G662" s="30"/>
      <c r="H662" s="30"/>
    </row>
    <row r="663">
      <c r="A663" s="19">
        <v>663.0</v>
      </c>
      <c r="B663" s="47"/>
      <c r="C663" s="47"/>
      <c r="D663" s="47"/>
      <c r="E663" s="47"/>
      <c r="F663" s="47"/>
      <c r="G663" s="30"/>
      <c r="H663" s="30"/>
    </row>
    <row r="664">
      <c r="A664" s="19">
        <v>664.0</v>
      </c>
      <c r="B664" s="47"/>
      <c r="C664" s="47"/>
      <c r="D664" s="47"/>
      <c r="E664" s="47"/>
      <c r="F664" s="47"/>
      <c r="G664" s="30"/>
      <c r="H664" s="30"/>
    </row>
    <row r="665">
      <c r="A665" s="19">
        <v>665.0</v>
      </c>
      <c r="B665" s="47"/>
      <c r="C665" s="47"/>
      <c r="D665" s="47"/>
      <c r="E665" s="47"/>
      <c r="F665" s="47"/>
      <c r="G665" s="30"/>
      <c r="H665" s="30"/>
    </row>
    <row r="666">
      <c r="A666" s="19">
        <v>666.0</v>
      </c>
      <c r="B666" s="47"/>
      <c r="C666" s="47"/>
      <c r="D666" s="47"/>
      <c r="E666" s="47"/>
      <c r="F666" s="47"/>
      <c r="G666" s="30"/>
      <c r="H666" s="30"/>
    </row>
    <row r="667">
      <c r="A667" s="19">
        <v>667.0</v>
      </c>
      <c r="B667" s="47"/>
      <c r="C667" s="47"/>
      <c r="D667" s="47"/>
      <c r="E667" s="47"/>
      <c r="F667" s="47"/>
      <c r="G667" s="30"/>
      <c r="H667" s="30"/>
    </row>
    <row r="668">
      <c r="A668" s="19">
        <v>668.0</v>
      </c>
      <c r="B668" s="47"/>
      <c r="C668" s="47"/>
      <c r="D668" s="47"/>
      <c r="E668" s="47"/>
      <c r="F668" s="47"/>
      <c r="G668" s="30"/>
      <c r="H668" s="30"/>
    </row>
    <row r="669">
      <c r="A669" s="19">
        <v>669.0</v>
      </c>
      <c r="B669" s="47"/>
      <c r="C669" s="47"/>
      <c r="D669" s="47"/>
      <c r="E669" s="47"/>
      <c r="F669" s="47"/>
      <c r="G669" s="30"/>
      <c r="H669" s="30"/>
    </row>
    <row r="670">
      <c r="A670" s="19">
        <v>670.0</v>
      </c>
      <c r="B670" s="47"/>
      <c r="C670" s="47"/>
      <c r="D670" s="47"/>
      <c r="E670" s="47"/>
      <c r="F670" s="47"/>
      <c r="G670" s="30"/>
      <c r="H670" s="30"/>
    </row>
    <row r="671">
      <c r="A671" s="19">
        <v>671.0</v>
      </c>
      <c r="B671" s="47"/>
      <c r="C671" s="47"/>
      <c r="D671" s="47"/>
      <c r="E671" s="47"/>
      <c r="F671" s="47"/>
      <c r="G671" s="30"/>
      <c r="H671" s="30"/>
    </row>
    <row r="672">
      <c r="A672" s="19">
        <v>672.0</v>
      </c>
      <c r="B672" s="47"/>
      <c r="C672" s="47"/>
      <c r="D672" s="47"/>
      <c r="E672" s="47"/>
      <c r="F672" s="47"/>
      <c r="G672" s="30"/>
      <c r="H672" s="30"/>
    </row>
    <row r="673">
      <c r="A673" s="19">
        <v>673.0</v>
      </c>
      <c r="B673" s="47"/>
      <c r="C673" s="47"/>
      <c r="D673" s="47"/>
      <c r="E673" s="47"/>
      <c r="F673" s="47"/>
      <c r="G673" s="30"/>
      <c r="H673" s="30"/>
    </row>
    <row r="674">
      <c r="A674" s="19">
        <v>674.0</v>
      </c>
      <c r="B674" s="47"/>
      <c r="C674" s="47"/>
      <c r="D674" s="47"/>
      <c r="E674" s="47"/>
      <c r="F674" s="47"/>
      <c r="G674" s="30"/>
      <c r="H674" s="30"/>
    </row>
    <row r="675">
      <c r="A675" s="19">
        <v>675.0</v>
      </c>
      <c r="B675" s="47"/>
      <c r="C675" s="47"/>
      <c r="D675" s="47"/>
      <c r="E675" s="47"/>
      <c r="F675" s="47"/>
      <c r="G675" s="30"/>
      <c r="H675" s="30"/>
    </row>
    <row r="676">
      <c r="A676" s="19">
        <v>676.0</v>
      </c>
      <c r="B676" s="47"/>
      <c r="C676" s="47"/>
      <c r="D676" s="47"/>
      <c r="E676" s="47"/>
      <c r="F676" s="47"/>
      <c r="G676" s="30"/>
      <c r="H676" s="30"/>
    </row>
    <row r="677">
      <c r="A677" s="19">
        <v>677.0</v>
      </c>
      <c r="B677" s="47"/>
      <c r="C677" s="47"/>
      <c r="D677" s="47"/>
      <c r="E677" s="47"/>
      <c r="F677" s="47"/>
      <c r="G677" s="30"/>
      <c r="H677" s="30"/>
    </row>
    <row r="678">
      <c r="A678" s="19">
        <v>678.0</v>
      </c>
      <c r="B678" s="47"/>
      <c r="C678" s="47"/>
      <c r="D678" s="47"/>
      <c r="E678" s="47"/>
      <c r="F678" s="47"/>
      <c r="G678" s="30"/>
      <c r="H678" s="30"/>
    </row>
    <row r="679">
      <c r="A679" s="19">
        <v>679.0</v>
      </c>
      <c r="B679" s="47"/>
      <c r="C679" s="47"/>
      <c r="D679" s="47"/>
      <c r="E679" s="47"/>
      <c r="F679" s="47"/>
      <c r="G679" s="30"/>
      <c r="H679" s="30"/>
    </row>
    <row r="680">
      <c r="A680" s="19">
        <v>680.0</v>
      </c>
      <c r="B680" s="47"/>
      <c r="C680" s="47"/>
      <c r="D680" s="47"/>
      <c r="E680" s="47"/>
      <c r="F680" s="47"/>
      <c r="G680" s="30"/>
      <c r="H680" s="30"/>
    </row>
    <row r="681">
      <c r="A681" s="19">
        <v>681.0</v>
      </c>
      <c r="B681" s="47"/>
      <c r="C681" s="47"/>
      <c r="D681" s="47"/>
      <c r="E681" s="47"/>
      <c r="F681" s="47"/>
      <c r="G681" s="30"/>
      <c r="H681" s="30"/>
    </row>
    <row r="682">
      <c r="A682" s="19">
        <v>682.0</v>
      </c>
      <c r="B682" s="47"/>
      <c r="C682" s="47"/>
      <c r="D682" s="47"/>
      <c r="E682" s="47"/>
      <c r="F682" s="47"/>
      <c r="G682" s="30"/>
      <c r="H682" s="30"/>
    </row>
    <row r="683">
      <c r="A683" s="19">
        <v>683.0</v>
      </c>
      <c r="B683" s="47"/>
      <c r="C683" s="47"/>
      <c r="D683" s="47"/>
      <c r="E683" s="47"/>
      <c r="F683" s="47"/>
      <c r="G683" s="30"/>
      <c r="H683" s="30"/>
    </row>
    <row r="684">
      <c r="A684" s="19">
        <v>684.0</v>
      </c>
      <c r="B684" s="47"/>
      <c r="C684" s="47"/>
      <c r="D684" s="47"/>
      <c r="E684" s="47"/>
      <c r="F684" s="47"/>
      <c r="G684" s="30"/>
      <c r="H684" s="30"/>
    </row>
    <row r="685">
      <c r="A685" s="19">
        <v>685.0</v>
      </c>
      <c r="B685" s="47"/>
      <c r="C685" s="47"/>
      <c r="D685" s="47"/>
      <c r="E685" s="47"/>
      <c r="F685" s="47"/>
      <c r="G685" s="30"/>
      <c r="H685" s="30"/>
    </row>
    <row r="686">
      <c r="A686" s="19">
        <v>686.0</v>
      </c>
      <c r="B686" s="47"/>
      <c r="C686" s="47"/>
      <c r="D686" s="47"/>
      <c r="E686" s="47"/>
      <c r="F686" s="47"/>
      <c r="G686" s="30"/>
      <c r="H686" s="30"/>
    </row>
    <row r="687">
      <c r="A687" s="19">
        <v>687.0</v>
      </c>
      <c r="B687" s="47"/>
      <c r="C687" s="47"/>
      <c r="D687" s="47"/>
      <c r="E687" s="47"/>
      <c r="F687" s="47"/>
      <c r="G687" s="30"/>
      <c r="H687" s="30"/>
    </row>
    <row r="688">
      <c r="A688" s="19">
        <v>688.0</v>
      </c>
      <c r="B688" s="47"/>
      <c r="C688" s="47"/>
      <c r="D688" s="47"/>
      <c r="E688" s="47"/>
      <c r="F688" s="47"/>
      <c r="G688" s="30"/>
      <c r="H688" s="30"/>
    </row>
    <row r="689">
      <c r="A689" s="19">
        <v>689.0</v>
      </c>
      <c r="B689" s="47"/>
      <c r="C689" s="47"/>
      <c r="D689" s="47"/>
      <c r="E689" s="47"/>
      <c r="F689" s="47"/>
      <c r="G689" s="30"/>
      <c r="H689" s="30"/>
    </row>
    <row r="690">
      <c r="A690" s="19">
        <v>690.0</v>
      </c>
      <c r="B690" s="47"/>
      <c r="C690" s="47"/>
      <c r="D690" s="47"/>
      <c r="E690" s="47"/>
      <c r="F690" s="47"/>
      <c r="G690" s="30"/>
      <c r="H690" s="30"/>
    </row>
    <row r="691">
      <c r="A691" s="19">
        <v>691.0</v>
      </c>
      <c r="B691" s="47"/>
      <c r="C691" s="47"/>
      <c r="D691" s="47"/>
      <c r="E691" s="47"/>
      <c r="F691" s="47"/>
      <c r="G691" s="30"/>
      <c r="H691" s="30"/>
    </row>
    <row r="692">
      <c r="A692" s="19">
        <v>692.0</v>
      </c>
      <c r="B692" s="47"/>
      <c r="C692" s="47"/>
      <c r="D692" s="47"/>
      <c r="E692" s="47"/>
      <c r="F692" s="47"/>
      <c r="G692" s="30"/>
      <c r="H692" s="30"/>
    </row>
    <row r="693">
      <c r="A693" s="19">
        <v>693.0</v>
      </c>
      <c r="B693" s="47"/>
      <c r="C693" s="47"/>
      <c r="D693" s="47"/>
      <c r="E693" s="47"/>
      <c r="F693" s="47"/>
      <c r="G693" s="30"/>
      <c r="H693" s="30"/>
    </row>
    <row r="694">
      <c r="A694" s="19">
        <v>694.0</v>
      </c>
      <c r="B694" s="47"/>
      <c r="C694" s="47"/>
      <c r="D694" s="47"/>
      <c r="E694" s="47"/>
      <c r="F694" s="47"/>
      <c r="G694" s="30"/>
      <c r="H694" s="30"/>
    </row>
    <row r="695">
      <c r="A695" s="19">
        <v>695.0</v>
      </c>
      <c r="B695" s="47"/>
      <c r="C695" s="47"/>
      <c r="D695" s="47"/>
      <c r="E695" s="47"/>
      <c r="F695" s="47"/>
      <c r="G695" s="30"/>
      <c r="H695" s="30"/>
    </row>
    <row r="696">
      <c r="A696" s="19">
        <v>696.0</v>
      </c>
      <c r="B696" s="47"/>
      <c r="C696" s="47"/>
      <c r="D696" s="47"/>
      <c r="E696" s="47"/>
      <c r="F696" s="47"/>
      <c r="G696" s="30"/>
      <c r="H696" s="30"/>
    </row>
    <row r="697">
      <c r="A697" s="19">
        <v>697.0</v>
      </c>
      <c r="B697" s="47"/>
      <c r="C697" s="47"/>
      <c r="D697" s="47"/>
      <c r="E697" s="47"/>
      <c r="F697" s="47"/>
      <c r="G697" s="30"/>
      <c r="H697" s="30"/>
    </row>
    <row r="698">
      <c r="A698" s="19">
        <v>698.0</v>
      </c>
      <c r="B698" s="47"/>
      <c r="C698" s="47"/>
      <c r="D698" s="47"/>
      <c r="E698" s="47"/>
      <c r="F698" s="47"/>
      <c r="G698" s="30"/>
      <c r="H698" s="30"/>
    </row>
    <row r="699">
      <c r="A699" s="19">
        <v>699.0</v>
      </c>
      <c r="B699" s="47"/>
      <c r="C699" s="47"/>
      <c r="D699" s="47"/>
      <c r="E699" s="47"/>
      <c r="F699" s="47"/>
      <c r="G699" s="30"/>
      <c r="H699" s="30"/>
    </row>
    <row r="700">
      <c r="A700" s="19">
        <v>700.0</v>
      </c>
      <c r="B700" s="47"/>
      <c r="C700" s="47"/>
      <c r="D700" s="47"/>
      <c r="E700" s="47"/>
      <c r="F700" s="47"/>
      <c r="G700" s="30"/>
      <c r="H700" s="30"/>
    </row>
    <row r="701">
      <c r="A701" s="19">
        <v>701.0</v>
      </c>
      <c r="B701" s="47"/>
      <c r="C701" s="47"/>
      <c r="D701" s="47"/>
      <c r="E701" s="47"/>
      <c r="F701" s="47"/>
      <c r="G701" s="30"/>
      <c r="H701" s="30"/>
    </row>
    <row r="702">
      <c r="A702" s="19">
        <v>702.0</v>
      </c>
      <c r="B702" s="47"/>
      <c r="C702" s="47"/>
      <c r="D702" s="47"/>
      <c r="E702" s="47"/>
      <c r="F702" s="47"/>
      <c r="G702" s="30"/>
      <c r="H702" s="30"/>
    </row>
    <row r="703">
      <c r="A703" s="19">
        <v>703.0</v>
      </c>
      <c r="B703" s="47"/>
      <c r="C703" s="47"/>
      <c r="D703" s="47"/>
      <c r="E703" s="47"/>
      <c r="F703" s="47"/>
      <c r="G703" s="30"/>
      <c r="H703" s="30"/>
    </row>
    <row r="704">
      <c r="A704" s="19">
        <v>704.0</v>
      </c>
      <c r="B704" s="47"/>
      <c r="C704" s="47"/>
      <c r="D704" s="47"/>
      <c r="E704" s="47"/>
      <c r="F704" s="47"/>
      <c r="G704" s="30"/>
      <c r="H704" s="30"/>
    </row>
    <row r="705">
      <c r="A705" s="19">
        <v>705.0</v>
      </c>
      <c r="B705" s="47"/>
      <c r="C705" s="47"/>
      <c r="D705" s="47"/>
      <c r="E705" s="47"/>
      <c r="F705" s="47"/>
      <c r="G705" s="30"/>
      <c r="H705" s="30"/>
    </row>
    <row r="706">
      <c r="A706" s="19">
        <v>706.0</v>
      </c>
      <c r="B706" s="47"/>
      <c r="C706" s="47"/>
      <c r="D706" s="47"/>
      <c r="E706" s="47"/>
      <c r="F706" s="47"/>
      <c r="G706" s="30"/>
      <c r="H706" s="30"/>
    </row>
    <row r="707">
      <c r="A707" s="19">
        <v>707.0</v>
      </c>
      <c r="B707" s="47"/>
      <c r="C707" s="47"/>
      <c r="D707" s="47"/>
      <c r="E707" s="47"/>
      <c r="F707" s="47"/>
      <c r="G707" s="30"/>
      <c r="H707" s="30"/>
    </row>
    <row r="708">
      <c r="A708" s="19">
        <v>708.0</v>
      </c>
      <c r="B708" s="47"/>
      <c r="C708" s="47"/>
      <c r="D708" s="47"/>
      <c r="E708" s="47"/>
      <c r="F708" s="47"/>
      <c r="G708" s="30"/>
      <c r="H708" s="30"/>
    </row>
    <row r="709">
      <c r="A709" s="19">
        <v>709.0</v>
      </c>
      <c r="B709" s="47"/>
      <c r="C709" s="47"/>
      <c r="D709" s="47"/>
      <c r="E709" s="47"/>
      <c r="F709" s="47"/>
      <c r="G709" s="30"/>
      <c r="H709" s="30"/>
    </row>
    <row r="710">
      <c r="A710" s="19">
        <v>710.0</v>
      </c>
      <c r="B710" s="47"/>
      <c r="C710" s="47"/>
      <c r="D710" s="47"/>
      <c r="E710" s="47"/>
      <c r="F710" s="47"/>
      <c r="G710" s="30"/>
      <c r="H710" s="30"/>
    </row>
    <row r="711">
      <c r="A711" s="19">
        <v>711.0</v>
      </c>
      <c r="B711" s="47"/>
      <c r="C711" s="47"/>
      <c r="D711" s="47"/>
      <c r="E711" s="47"/>
      <c r="F711" s="47"/>
      <c r="G711" s="30"/>
      <c r="H711" s="30"/>
    </row>
    <row r="712">
      <c r="A712" s="19">
        <v>712.0</v>
      </c>
      <c r="B712" s="47"/>
      <c r="C712" s="47"/>
      <c r="D712" s="47"/>
      <c r="E712" s="47"/>
      <c r="F712" s="47"/>
      <c r="G712" s="30"/>
      <c r="H712" s="30"/>
    </row>
    <row r="713">
      <c r="A713" s="19">
        <v>713.0</v>
      </c>
      <c r="B713" s="47"/>
      <c r="C713" s="47"/>
      <c r="D713" s="47"/>
      <c r="E713" s="47"/>
      <c r="F713" s="47"/>
      <c r="G713" s="30"/>
      <c r="H713" s="30"/>
    </row>
    <row r="714">
      <c r="A714" s="19">
        <v>714.0</v>
      </c>
      <c r="B714" s="47"/>
      <c r="C714" s="47"/>
      <c r="D714" s="47"/>
      <c r="E714" s="47"/>
      <c r="F714" s="47"/>
      <c r="G714" s="30"/>
      <c r="H714" s="30"/>
    </row>
    <row r="715">
      <c r="A715" s="19">
        <v>715.0</v>
      </c>
      <c r="B715" s="47"/>
      <c r="C715" s="47"/>
      <c r="D715" s="47"/>
      <c r="E715" s="47"/>
      <c r="F715" s="47"/>
      <c r="G715" s="30"/>
      <c r="H715" s="30"/>
    </row>
    <row r="716">
      <c r="A716" s="19">
        <v>716.0</v>
      </c>
      <c r="B716" s="47"/>
      <c r="C716" s="47"/>
      <c r="D716" s="47"/>
      <c r="E716" s="47"/>
      <c r="F716" s="47"/>
      <c r="G716" s="30"/>
      <c r="H716" s="30"/>
    </row>
    <row r="717">
      <c r="A717" s="19">
        <v>717.0</v>
      </c>
      <c r="B717" s="47"/>
      <c r="C717" s="47"/>
      <c r="D717" s="47"/>
      <c r="E717" s="47"/>
      <c r="F717" s="47"/>
      <c r="G717" s="30"/>
      <c r="H717" s="30"/>
    </row>
    <row r="718">
      <c r="A718" s="19">
        <v>718.0</v>
      </c>
      <c r="B718" s="47"/>
      <c r="C718" s="47"/>
      <c r="D718" s="47"/>
      <c r="E718" s="47"/>
      <c r="F718" s="47"/>
      <c r="G718" s="30"/>
      <c r="H718" s="30"/>
    </row>
    <row r="719">
      <c r="A719" s="19">
        <v>719.0</v>
      </c>
      <c r="B719" s="47"/>
      <c r="C719" s="47"/>
      <c r="D719" s="47"/>
      <c r="E719" s="47"/>
      <c r="F719" s="47"/>
      <c r="G719" s="30"/>
      <c r="H719" s="30"/>
    </row>
    <row r="720">
      <c r="A720" s="19">
        <v>720.0</v>
      </c>
      <c r="B720" s="47"/>
      <c r="C720" s="47"/>
      <c r="D720" s="47"/>
      <c r="E720" s="47"/>
      <c r="F720" s="47"/>
      <c r="G720" s="30"/>
      <c r="H720" s="30"/>
    </row>
    <row r="721">
      <c r="A721" s="19">
        <v>721.0</v>
      </c>
      <c r="B721" s="47"/>
      <c r="C721" s="47"/>
      <c r="D721" s="47"/>
      <c r="E721" s="47"/>
      <c r="F721" s="47"/>
      <c r="G721" s="30"/>
      <c r="H721" s="30"/>
    </row>
    <row r="722">
      <c r="A722" s="19">
        <v>722.0</v>
      </c>
      <c r="B722" s="47"/>
      <c r="C722" s="47"/>
      <c r="D722" s="47"/>
      <c r="E722" s="47"/>
      <c r="F722" s="47"/>
      <c r="G722" s="30"/>
      <c r="H722" s="30"/>
    </row>
    <row r="723">
      <c r="A723" s="19">
        <v>723.0</v>
      </c>
      <c r="B723" s="47"/>
      <c r="C723" s="47"/>
      <c r="D723" s="47"/>
      <c r="E723" s="47"/>
      <c r="F723" s="47"/>
      <c r="G723" s="30"/>
      <c r="H723" s="30"/>
    </row>
    <row r="724">
      <c r="A724" s="19">
        <v>724.0</v>
      </c>
      <c r="B724" s="47"/>
      <c r="C724" s="47"/>
      <c r="D724" s="47"/>
      <c r="E724" s="47"/>
      <c r="F724" s="47"/>
      <c r="G724" s="30"/>
      <c r="H724" s="30"/>
    </row>
    <row r="725">
      <c r="A725" s="19">
        <v>725.0</v>
      </c>
      <c r="B725" s="47"/>
      <c r="C725" s="47"/>
      <c r="D725" s="47"/>
      <c r="E725" s="47"/>
      <c r="F725" s="47"/>
      <c r="G725" s="30"/>
      <c r="H725" s="30"/>
    </row>
    <row r="726">
      <c r="A726" s="19">
        <v>726.0</v>
      </c>
      <c r="B726" s="47"/>
      <c r="C726" s="47"/>
      <c r="D726" s="47"/>
      <c r="E726" s="47"/>
      <c r="F726" s="47"/>
      <c r="G726" s="30"/>
      <c r="H726" s="30"/>
    </row>
    <row r="727">
      <c r="A727" s="19">
        <v>727.0</v>
      </c>
      <c r="B727" s="47"/>
      <c r="C727" s="47"/>
      <c r="D727" s="47"/>
      <c r="E727" s="47"/>
      <c r="F727" s="47"/>
      <c r="G727" s="30"/>
      <c r="H727" s="30"/>
    </row>
    <row r="728">
      <c r="A728" s="19">
        <v>728.0</v>
      </c>
      <c r="B728" s="47"/>
      <c r="C728" s="47"/>
      <c r="D728" s="47"/>
      <c r="E728" s="47"/>
      <c r="F728" s="47"/>
      <c r="G728" s="30"/>
      <c r="H728" s="30"/>
    </row>
    <row r="729">
      <c r="A729" s="19">
        <v>729.0</v>
      </c>
      <c r="B729" s="47"/>
      <c r="C729" s="47"/>
      <c r="D729" s="47"/>
      <c r="E729" s="47"/>
      <c r="F729" s="47"/>
      <c r="G729" s="30"/>
      <c r="H729" s="30"/>
    </row>
    <row r="730">
      <c r="A730" s="19">
        <v>730.0</v>
      </c>
      <c r="B730" s="47"/>
      <c r="C730" s="47"/>
      <c r="D730" s="47"/>
      <c r="E730" s="47"/>
      <c r="F730" s="47"/>
      <c r="G730" s="30"/>
      <c r="H730" s="30"/>
    </row>
    <row r="731">
      <c r="A731" s="19">
        <v>731.0</v>
      </c>
      <c r="B731" s="47"/>
      <c r="C731" s="47"/>
      <c r="D731" s="47"/>
      <c r="E731" s="47"/>
      <c r="F731" s="47"/>
      <c r="G731" s="30"/>
      <c r="H731" s="30"/>
    </row>
    <row r="732">
      <c r="A732" s="19">
        <v>732.0</v>
      </c>
      <c r="B732" s="47"/>
      <c r="C732" s="47"/>
      <c r="D732" s="47"/>
      <c r="E732" s="47"/>
      <c r="F732" s="47"/>
      <c r="G732" s="30"/>
      <c r="H732" s="30"/>
    </row>
    <row r="733">
      <c r="A733" s="19">
        <v>733.0</v>
      </c>
      <c r="B733" s="47"/>
      <c r="C733" s="47"/>
      <c r="D733" s="47"/>
      <c r="E733" s="47"/>
      <c r="F733" s="47"/>
      <c r="G733" s="30"/>
      <c r="H733" s="30"/>
    </row>
    <row r="734">
      <c r="A734" s="19">
        <v>734.0</v>
      </c>
      <c r="B734" s="47"/>
      <c r="C734" s="47"/>
      <c r="D734" s="47"/>
      <c r="E734" s="47"/>
      <c r="F734" s="47"/>
      <c r="G734" s="30"/>
      <c r="H734" s="30"/>
    </row>
    <row r="735">
      <c r="A735" s="19">
        <v>735.0</v>
      </c>
      <c r="B735" s="47"/>
      <c r="C735" s="47"/>
      <c r="D735" s="47"/>
      <c r="E735" s="47"/>
      <c r="F735" s="47"/>
      <c r="G735" s="30"/>
      <c r="H735" s="30"/>
    </row>
    <row r="736">
      <c r="A736" s="19">
        <v>736.0</v>
      </c>
      <c r="B736" s="47"/>
      <c r="C736" s="47"/>
      <c r="D736" s="47"/>
      <c r="E736" s="47"/>
      <c r="F736" s="47"/>
      <c r="G736" s="30"/>
      <c r="H736" s="30"/>
    </row>
    <row r="737">
      <c r="A737" s="19">
        <v>737.0</v>
      </c>
      <c r="B737" s="47"/>
      <c r="C737" s="47"/>
      <c r="D737" s="47"/>
      <c r="E737" s="47"/>
      <c r="F737" s="47"/>
      <c r="G737" s="30"/>
      <c r="H737" s="30"/>
    </row>
    <row r="738">
      <c r="A738" s="19">
        <v>738.0</v>
      </c>
      <c r="B738" s="47"/>
      <c r="C738" s="47"/>
      <c r="D738" s="47"/>
      <c r="E738" s="47"/>
      <c r="F738" s="47"/>
      <c r="G738" s="30"/>
      <c r="H738" s="30"/>
    </row>
    <row r="739">
      <c r="A739" s="19">
        <v>739.0</v>
      </c>
      <c r="B739" s="47"/>
      <c r="C739" s="47"/>
      <c r="D739" s="47"/>
      <c r="E739" s="47"/>
      <c r="F739" s="47"/>
      <c r="G739" s="30"/>
      <c r="H739" s="30"/>
    </row>
    <row r="740">
      <c r="A740" s="19">
        <v>740.0</v>
      </c>
      <c r="B740" s="47"/>
      <c r="C740" s="47"/>
      <c r="D740" s="47"/>
      <c r="E740" s="47"/>
      <c r="F740" s="47"/>
      <c r="G740" s="30"/>
      <c r="H740" s="30"/>
    </row>
    <row r="741">
      <c r="A741" s="19">
        <v>741.0</v>
      </c>
      <c r="B741" s="47"/>
      <c r="C741" s="47"/>
      <c r="D741" s="47"/>
      <c r="E741" s="47"/>
      <c r="F741" s="47"/>
      <c r="G741" s="30"/>
      <c r="H741" s="30"/>
    </row>
    <row r="742">
      <c r="A742" s="19">
        <v>742.0</v>
      </c>
      <c r="B742" s="47"/>
      <c r="C742" s="47"/>
      <c r="D742" s="47"/>
      <c r="E742" s="47"/>
      <c r="F742" s="47"/>
      <c r="G742" s="30"/>
      <c r="H742" s="30"/>
    </row>
    <row r="743">
      <c r="A743" s="19">
        <v>743.0</v>
      </c>
      <c r="B743" s="47"/>
      <c r="C743" s="47"/>
      <c r="D743" s="47"/>
      <c r="E743" s="47"/>
      <c r="F743" s="47"/>
      <c r="G743" s="30"/>
      <c r="H743" s="30"/>
    </row>
    <row r="744">
      <c r="A744" s="19">
        <v>744.0</v>
      </c>
      <c r="B744" s="47"/>
      <c r="C744" s="47"/>
      <c r="D744" s="47"/>
      <c r="E744" s="47"/>
      <c r="F744" s="47"/>
      <c r="G744" s="30"/>
      <c r="H744" s="30"/>
    </row>
    <row r="745">
      <c r="A745" s="19">
        <v>745.0</v>
      </c>
      <c r="B745" s="47"/>
      <c r="C745" s="47"/>
      <c r="D745" s="47"/>
      <c r="E745" s="47"/>
      <c r="F745" s="47"/>
      <c r="G745" s="30"/>
      <c r="H745" s="30"/>
    </row>
    <row r="746">
      <c r="A746" s="19">
        <v>746.0</v>
      </c>
      <c r="B746" s="47"/>
      <c r="C746" s="47"/>
      <c r="D746" s="47"/>
      <c r="E746" s="47"/>
      <c r="F746" s="47"/>
      <c r="G746" s="30"/>
      <c r="H746" s="30"/>
    </row>
    <row r="747">
      <c r="A747" s="19">
        <v>747.0</v>
      </c>
      <c r="B747" s="47"/>
      <c r="C747" s="47"/>
      <c r="D747" s="47"/>
      <c r="E747" s="47"/>
      <c r="F747" s="47"/>
      <c r="G747" s="30"/>
      <c r="H747" s="30"/>
    </row>
    <row r="748">
      <c r="A748" s="19">
        <v>748.0</v>
      </c>
      <c r="B748" s="47"/>
      <c r="C748" s="47"/>
      <c r="D748" s="47"/>
      <c r="E748" s="47"/>
      <c r="F748" s="47"/>
      <c r="G748" s="30"/>
      <c r="H748" s="30"/>
    </row>
    <row r="749">
      <c r="A749" s="19">
        <v>749.0</v>
      </c>
      <c r="B749" s="47"/>
      <c r="C749" s="47"/>
      <c r="D749" s="47"/>
      <c r="E749" s="47"/>
      <c r="F749" s="47"/>
      <c r="G749" s="30"/>
      <c r="H749" s="30"/>
    </row>
    <row r="750">
      <c r="A750" s="19">
        <v>750.0</v>
      </c>
      <c r="B750" s="47"/>
      <c r="C750" s="47"/>
      <c r="D750" s="47"/>
      <c r="E750" s="47"/>
      <c r="F750" s="47"/>
      <c r="G750" s="30"/>
      <c r="H750" s="30"/>
    </row>
    <row r="751">
      <c r="A751" s="19">
        <v>751.0</v>
      </c>
      <c r="B751" s="47"/>
      <c r="C751" s="47"/>
      <c r="D751" s="47"/>
      <c r="E751" s="47"/>
      <c r="F751" s="47"/>
      <c r="G751" s="30"/>
      <c r="H751" s="30"/>
    </row>
    <row r="752">
      <c r="A752" s="19">
        <v>752.0</v>
      </c>
      <c r="B752" s="47"/>
      <c r="C752" s="47"/>
      <c r="D752" s="47"/>
      <c r="E752" s="47"/>
      <c r="F752" s="47"/>
      <c r="G752" s="30"/>
      <c r="H752" s="30"/>
    </row>
    <row r="753">
      <c r="A753" s="19">
        <v>753.0</v>
      </c>
      <c r="B753" s="47"/>
      <c r="C753" s="47"/>
      <c r="D753" s="47"/>
      <c r="E753" s="47"/>
      <c r="F753" s="47"/>
      <c r="G753" s="30"/>
      <c r="H753" s="30"/>
    </row>
    <row r="754">
      <c r="A754" s="19">
        <v>754.0</v>
      </c>
      <c r="B754" s="47"/>
      <c r="C754" s="47"/>
      <c r="D754" s="47"/>
      <c r="E754" s="47"/>
      <c r="F754" s="47"/>
      <c r="G754" s="30"/>
      <c r="H754" s="30"/>
    </row>
    <row r="755">
      <c r="A755" s="19">
        <v>755.0</v>
      </c>
      <c r="B755" s="47"/>
      <c r="C755" s="47"/>
      <c r="D755" s="47"/>
      <c r="E755" s="47"/>
      <c r="F755" s="47"/>
      <c r="G755" s="30"/>
      <c r="H755" s="30"/>
    </row>
    <row r="756">
      <c r="A756" s="19">
        <v>756.0</v>
      </c>
      <c r="B756" s="47"/>
      <c r="C756" s="47"/>
      <c r="D756" s="47"/>
      <c r="E756" s="47"/>
      <c r="F756" s="47"/>
      <c r="G756" s="30"/>
      <c r="H756" s="30"/>
    </row>
    <row r="757">
      <c r="A757" s="19">
        <v>757.0</v>
      </c>
      <c r="B757" s="47"/>
      <c r="C757" s="47"/>
      <c r="D757" s="47"/>
      <c r="E757" s="47"/>
      <c r="F757" s="47"/>
      <c r="G757" s="30"/>
      <c r="H757" s="30"/>
    </row>
    <row r="758">
      <c r="A758" s="19">
        <v>758.0</v>
      </c>
      <c r="B758" s="47"/>
      <c r="C758" s="47"/>
      <c r="D758" s="47"/>
      <c r="E758" s="47"/>
      <c r="F758" s="47"/>
      <c r="G758" s="30"/>
      <c r="H758" s="30"/>
    </row>
    <row r="759">
      <c r="A759" s="19">
        <v>759.0</v>
      </c>
      <c r="B759" s="47"/>
      <c r="C759" s="47"/>
      <c r="D759" s="47"/>
      <c r="E759" s="47"/>
      <c r="F759" s="47"/>
      <c r="G759" s="30"/>
      <c r="H759" s="30"/>
    </row>
    <row r="760">
      <c r="A760" s="19">
        <v>760.0</v>
      </c>
      <c r="B760" s="47"/>
      <c r="C760" s="47"/>
      <c r="D760" s="47"/>
      <c r="E760" s="47"/>
      <c r="F760" s="47"/>
      <c r="G760" s="30"/>
      <c r="H760" s="30"/>
    </row>
    <row r="761">
      <c r="A761" s="19">
        <v>761.0</v>
      </c>
      <c r="B761" s="47"/>
      <c r="C761" s="47"/>
      <c r="D761" s="47"/>
      <c r="E761" s="47"/>
      <c r="F761" s="47"/>
      <c r="G761" s="30"/>
      <c r="H761" s="30"/>
    </row>
    <row r="762">
      <c r="A762" s="19">
        <v>762.0</v>
      </c>
      <c r="B762" s="47"/>
      <c r="C762" s="47"/>
      <c r="D762" s="47"/>
      <c r="E762" s="47"/>
      <c r="F762" s="47"/>
      <c r="G762" s="30"/>
      <c r="H762" s="30"/>
    </row>
    <row r="763">
      <c r="A763" s="19">
        <v>763.0</v>
      </c>
      <c r="B763" s="47"/>
      <c r="C763" s="47"/>
      <c r="D763" s="47"/>
      <c r="E763" s="47"/>
      <c r="F763" s="47"/>
      <c r="G763" s="30"/>
      <c r="H763" s="30"/>
    </row>
    <row r="764">
      <c r="A764" s="19">
        <v>764.0</v>
      </c>
      <c r="B764" s="47"/>
      <c r="C764" s="47"/>
      <c r="D764" s="47"/>
      <c r="E764" s="47"/>
      <c r="F764" s="47"/>
      <c r="G764" s="30"/>
      <c r="H764" s="30"/>
    </row>
    <row r="765">
      <c r="A765" s="19">
        <v>765.0</v>
      </c>
      <c r="B765" s="47"/>
      <c r="C765" s="47"/>
      <c r="D765" s="47"/>
      <c r="E765" s="47"/>
      <c r="F765" s="47"/>
      <c r="G765" s="30"/>
      <c r="H765" s="30"/>
    </row>
    <row r="766">
      <c r="A766" s="19">
        <v>766.0</v>
      </c>
      <c r="B766" s="47"/>
      <c r="C766" s="47"/>
      <c r="D766" s="47"/>
      <c r="E766" s="47"/>
      <c r="F766" s="47"/>
      <c r="G766" s="30"/>
      <c r="H766" s="30"/>
    </row>
    <row r="767">
      <c r="A767" s="19">
        <v>767.0</v>
      </c>
      <c r="B767" s="47"/>
      <c r="C767" s="47"/>
      <c r="D767" s="47"/>
      <c r="E767" s="47"/>
      <c r="F767" s="47"/>
      <c r="G767" s="30"/>
      <c r="H767" s="30"/>
    </row>
    <row r="768">
      <c r="A768" s="19">
        <v>768.0</v>
      </c>
      <c r="B768" s="47"/>
      <c r="C768" s="47"/>
      <c r="D768" s="47"/>
      <c r="E768" s="47"/>
      <c r="F768" s="47"/>
      <c r="G768" s="30"/>
      <c r="H768" s="30"/>
    </row>
    <row r="769">
      <c r="A769" s="19">
        <v>769.0</v>
      </c>
      <c r="B769" s="47"/>
      <c r="C769" s="47"/>
      <c r="D769" s="47"/>
      <c r="E769" s="47"/>
      <c r="F769" s="47"/>
      <c r="G769" s="30"/>
      <c r="H769" s="30"/>
    </row>
    <row r="770">
      <c r="A770" s="19">
        <v>770.0</v>
      </c>
      <c r="B770" s="47"/>
      <c r="C770" s="47"/>
      <c r="D770" s="47"/>
      <c r="E770" s="47"/>
      <c r="F770" s="47"/>
      <c r="G770" s="30"/>
      <c r="H770" s="30"/>
    </row>
    <row r="771">
      <c r="A771" s="19">
        <v>771.0</v>
      </c>
      <c r="B771" s="47"/>
      <c r="C771" s="47"/>
      <c r="D771" s="47"/>
      <c r="E771" s="47"/>
      <c r="F771" s="47"/>
      <c r="G771" s="30"/>
      <c r="H771" s="30"/>
    </row>
    <row r="772">
      <c r="A772" s="19">
        <v>772.0</v>
      </c>
      <c r="B772" s="47"/>
      <c r="C772" s="47"/>
      <c r="D772" s="47"/>
      <c r="E772" s="47"/>
      <c r="F772" s="47"/>
      <c r="G772" s="30"/>
      <c r="H772" s="30"/>
    </row>
    <row r="773">
      <c r="A773" s="19">
        <v>773.0</v>
      </c>
      <c r="B773" s="47"/>
      <c r="C773" s="47"/>
      <c r="D773" s="47"/>
      <c r="E773" s="47"/>
      <c r="F773" s="47"/>
      <c r="G773" s="30"/>
      <c r="H773" s="30"/>
    </row>
    <row r="774">
      <c r="A774" s="19">
        <v>774.0</v>
      </c>
      <c r="B774" s="47"/>
      <c r="C774" s="47"/>
      <c r="D774" s="47"/>
      <c r="E774" s="47"/>
      <c r="F774" s="47"/>
      <c r="G774" s="30"/>
      <c r="H774" s="30"/>
    </row>
    <row r="775">
      <c r="A775" s="19">
        <v>775.0</v>
      </c>
      <c r="B775" s="47"/>
      <c r="C775" s="47"/>
      <c r="D775" s="47"/>
      <c r="E775" s="47"/>
      <c r="F775" s="47"/>
      <c r="G775" s="30"/>
      <c r="H775" s="30"/>
    </row>
    <row r="776">
      <c r="A776" s="19">
        <v>776.0</v>
      </c>
      <c r="B776" s="47"/>
      <c r="C776" s="47"/>
      <c r="D776" s="47"/>
      <c r="E776" s="47"/>
      <c r="F776" s="47"/>
      <c r="G776" s="30"/>
      <c r="H776" s="30"/>
    </row>
    <row r="777">
      <c r="A777" s="19">
        <v>777.0</v>
      </c>
      <c r="B777" s="47"/>
      <c r="C777" s="47"/>
      <c r="D777" s="47"/>
      <c r="E777" s="47"/>
      <c r="F777" s="47"/>
      <c r="G777" s="30"/>
      <c r="H777" s="30"/>
    </row>
    <row r="778">
      <c r="A778" s="19">
        <v>778.0</v>
      </c>
      <c r="B778" s="47"/>
      <c r="C778" s="47"/>
      <c r="D778" s="47"/>
      <c r="E778" s="47"/>
      <c r="F778" s="47"/>
      <c r="G778" s="30"/>
      <c r="H778" s="30"/>
    </row>
    <row r="779">
      <c r="A779" s="19">
        <v>779.0</v>
      </c>
      <c r="B779" s="47"/>
      <c r="C779" s="47"/>
      <c r="D779" s="47"/>
      <c r="E779" s="47"/>
      <c r="F779" s="47"/>
      <c r="G779" s="30"/>
      <c r="H779" s="30"/>
    </row>
    <row r="780">
      <c r="A780" s="19">
        <v>780.0</v>
      </c>
      <c r="B780" s="47"/>
      <c r="C780" s="47"/>
      <c r="D780" s="47"/>
      <c r="E780" s="47"/>
      <c r="F780" s="47"/>
      <c r="G780" s="30"/>
      <c r="H780" s="30"/>
    </row>
    <row r="781">
      <c r="A781" s="19">
        <v>781.0</v>
      </c>
      <c r="B781" s="47"/>
      <c r="C781" s="47"/>
      <c r="D781" s="47"/>
      <c r="E781" s="47"/>
      <c r="F781" s="47"/>
      <c r="G781" s="30"/>
      <c r="H781" s="30"/>
    </row>
    <row r="782">
      <c r="A782" s="19">
        <v>782.0</v>
      </c>
      <c r="B782" s="47"/>
      <c r="C782" s="47"/>
      <c r="D782" s="47"/>
      <c r="E782" s="47"/>
      <c r="F782" s="47"/>
      <c r="G782" s="30"/>
      <c r="H782" s="30"/>
    </row>
    <row r="783">
      <c r="A783" s="19">
        <v>783.0</v>
      </c>
      <c r="B783" s="47"/>
      <c r="C783" s="47"/>
      <c r="D783" s="47"/>
      <c r="E783" s="47"/>
      <c r="F783" s="47"/>
      <c r="G783" s="30"/>
      <c r="H783" s="30"/>
    </row>
    <row r="784">
      <c r="A784" s="19">
        <v>784.0</v>
      </c>
      <c r="B784" s="47"/>
      <c r="C784" s="47"/>
      <c r="D784" s="47"/>
      <c r="E784" s="47"/>
      <c r="F784" s="47"/>
      <c r="G784" s="30"/>
      <c r="H784" s="30"/>
    </row>
    <row r="785">
      <c r="A785" s="19">
        <v>785.0</v>
      </c>
      <c r="B785" s="47"/>
      <c r="C785" s="47"/>
      <c r="D785" s="47"/>
      <c r="E785" s="47"/>
      <c r="F785" s="47"/>
      <c r="G785" s="30"/>
      <c r="H785" s="30"/>
    </row>
    <row r="786">
      <c r="A786" s="19">
        <v>786.0</v>
      </c>
      <c r="B786" s="47"/>
      <c r="C786" s="47"/>
      <c r="D786" s="47"/>
      <c r="E786" s="47"/>
      <c r="F786" s="47"/>
      <c r="G786" s="30"/>
      <c r="H786" s="30"/>
    </row>
    <row r="787">
      <c r="A787" s="19">
        <v>787.0</v>
      </c>
      <c r="B787" s="47"/>
      <c r="C787" s="47"/>
      <c r="D787" s="47"/>
      <c r="E787" s="47"/>
      <c r="F787" s="47"/>
      <c r="G787" s="30"/>
      <c r="H787" s="30"/>
    </row>
    <row r="788">
      <c r="A788" s="19">
        <v>788.0</v>
      </c>
      <c r="B788" s="47"/>
      <c r="C788" s="47"/>
      <c r="D788" s="47"/>
      <c r="E788" s="47"/>
      <c r="F788" s="47"/>
      <c r="G788" s="30"/>
      <c r="H788" s="30"/>
    </row>
    <row r="789">
      <c r="A789" s="19">
        <v>789.0</v>
      </c>
      <c r="B789" s="47"/>
      <c r="C789" s="47"/>
      <c r="D789" s="47"/>
      <c r="E789" s="47"/>
      <c r="F789" s="47"/>
      <c r="G789" s="30"/>
      <c r="H789" s="30"/>
    </row>
    <row r="790">
      <c r="A790" s="19">
        <v>790.0</v>
      </c>
      <c r="B790" s="47"/>
      <c r="C790" s="47"/>
      <c r="D790" s="47"/>
      <c r="E790" s="47"/>
      <c r="F790" s="47"/>
      <c r="G790" s="30"/>
      <c r="H790" s="30"/>
    </row>
    <row r="791">
      <c r="A791" s="19">
        <v>791.0</v>
      </c>
      <c r="B791" s="47"/>
      <c r="C791" s="47"/>
      <c r="D791" s="47"/>
      <c r="E791" s="47"/>
      <c r="F791" s="47"/>
      <c r="G791" s="30"/>
      <c r="H791" s="30"/>
    </row>
    <row r="792">
      <c r="A792" s="19">
        <v>792.0</v>
      </c>
      <c r="B792" s="47"/>
      <c r="C792" s="47"/>
      <c r="D792" s="47"/>
      <c r="E792" s="47"/>
      <c r="F792" s="47"/>
      <c r="G792" s="30"/>
      <c r="H792" s="30"/>
    </row>
    <row r="793">
      <c r="A793" s="19">
        <v>793.0</v>
      </c>
      <c r="B793" s="47"/>
      <c r="C793" s="47"/>
      <c r="D793" s="47"/>
      <c r="E793" s="47"/>
      <c r="F793" s="47"/>
      <c r="G793" s="30"/>
      <c r="H793" s="30"/>
    </row>
    <row r="794">
      <c r="A794" s="19">
        <v>794.0</v>
      </c>
      <c r="B794" s="47"/>
      <c r="C794" s="47"/>
      <c r="D794" s="47"/>
      <c r="E794" s="47"/>
      <c r="F794" s="47"/>
      <c r="G794" s="30"/>
      <c r="H794" s="30"/>
    </row>
    <row r="795">
      <c r="A795" s="19">
        <v>795.0</v>
      </c>
      <c r="B795" s="47"/>
      <c r="C795" s="47"/>
      <c r="D795" s="47"/>
      <c r="E795" s="47"/>
      <c r="F795" s="47"/>
      <c r="G795" s="30"/>
      <c r="H795" s="30"/>
    </row>
    <row r="796">
      <c r="A796" s="19">
        <v>796.0</v>
      </c>
      <c r="B796" s="47"/>
      <c r="C796" s="47"/>
      <c r="D796" s="47"/>
      <c r="E796" s="47"/>
      <c r="F796" s="47"/>
      <c r="G796" s="30"/>
      <c r="H796" s="30"/>
    </row>
    <row r="797">
      <c r="A797" s="19">
        <v>797.0</v>
      </c>
      <c r="B797" s="47"/>
      <c r="C797" s="47"/>
      <c r="D797" s="47"/>
      <c r="E797" s="47"/>
      <c r="F797" s="47"/>
      <c r="G797" s="30"/>
      <c r="H797" s="30"/>
    </row>
    <row r="798">
      <c r="A798" s="19">
        <v>798.0</v>
      </c>
      <c r="B798" s="47"/>
      <c r="C798" s="47"/>
      <c r="D798" s="47"/>
      <c r="E798" s="47"/>
      <c r="F798" s="47"/>
      <c r="G798" s="30"/>
      <c r="H798" s="30"/>
    </row>
    <row r="799">
      <c r="A799" s="19">
        <v>799.0</v>
      </c>
      <c r="B799" s="47"/>
      <c r="C799" s="47"/>
      <c r="D799" s="47"/>
      <c r="E799" s="47"/>
      <c r="F799" s="47"/>
      <c r="G799" s="30"/>
      <c r="H799" s="30"/>
    </row>
    <row r="800">
      <c r="A800" s="19">
        <v>800.0</v>
      </c>
      <c r="B800" s="47"/>
      <c r="C800" s="47"/>
      <c r="D800" s="47"/>
      <c r="E800" s="47"/>
      <c r="F800" s="47"/>
      <c r="G800" s="30"/>
      <c r="H800" s="30"/>
    </row>
    <row r="801">
      <c r="A801" s="19">
        <v>801.0</v>
      </c>
      <c r="B801" s="47"/>
      <c r="C801" s="47"/>
      <c r="D801" s="47"/>
      <c r="E801" s="47"/>
      <c r="F801" s="47"/>
      <c r="G801" s="30"/>
      <c r="H801" s="30"/>
    </row>
    <row r="802">
      <c r="A802" s="19">
        <v>802.0</v>
      </c>
      <c r="B802" s="47"/>
      <c r="C802" s="47"/>
      <c r="D802" s="47"/>
      <c r="E802" s="47"/>
      <c r="F802" s="47"/>
      <c r="G802" s="30"/>
      <c r="H802" s="30"/>
    </row>
    <row r="803">
      <c r="A803" s="19">
        <v>803.0</v>
      </c>
      <c r="B803" s="47"/>
      <c r="C803" s="47"/>
      <c r="D803" s="47"/>
      <c r="E803" s="47"/>
      <c r="F803" s="47"/>
      <c r="G803" s="30"/>
      <c r="H803" s="30"/>
    </row>
    <row r="804">
      <c r="A804" s="19">
        <v>804.0</v>
      </c>
      <c r="B804" s="47"/>
      <c r="C804" s="47"/>
      <c r="D804" s="47"/>
      <c r="E804" s="47"/>
      <c r="F804" s="47"/>
      <c r="G804" s="30"/>
      <c r="H804" s="30"/>
    </row>
    <row r="805">
      <c r="A805" s="19">
        <v>805.0</v>
      </c>
      <c r="B805" s="47"/>
      <c r="C805" s="47"/>
      <c r="D805" s="47"/>
      <c r="E805" s="47"/>
      <c r="F805" s="47"/>
      <c r="G805" s="30"/>
      <c r="H805" s="30"/>
    </row>
    <row r="806">
      <c r="A806" s="19">
        <v>806.0</v>
      </c>
      <c r="B806" s="47"/>
      <c r="C806" s="47"/>
      <c r="D806" s="47"/>
      <c r="E806" s="47"/>
      <c r="F806" s="47"/>
      <c r="G806" s="30"/>
      <c r="H806" s="30"/>
    </row>
    <row r="807">
      <c r="A807" s="19">
        <v>807.0</v>
      </c>
      <c r="B807" s="47"/>
      <c r="C807" s="47"/>
      <c r="D807" s="47"/>
      <c r="E807" s="47"/>
      <c r="F807" s="47"/>
      <c r="G807" s="30"/>
      <c r="H807" s="30"/>
    </row>
    <row r="808">
      <c r="A808" s="19">
        <v>808.0</v>
      </c>
      <c r="B808" s="47"/>
      <c r="C808" s="47"/>
      <c r="D808" s="47"/>
      <c r="E808" s="47"/>
      <c r="F808" s="47"/>
      <c r="G808" s="30"/>
      <c r="H808" s="30"/>
    </row>
    <row r="809">
      <c r="A809" s="19">
        <v>809.0</v>
      </c>
      <c r="B809" s="47"/>
      <c r="C809" s="47"/>
      <c r="D809" s="47"/>
      <c r="E809" s="47"/>
      <c r="F809" s="47"/>
      <c r="G809" s="30"/>
      <c r="H809" s="30"/>
    </row>
    <row r="810">
      <c r="A810" s="19">
        <v>810.0</v>
      </c>
      <c r="B810" s="47"/>
      <c r="C810" s="47"/>
      <c r="D810" s="47"/>
      <c r="E810" s="47"/>
      <c r="F810" s="47"/>
      <c r="G810" s="30"/>
      <c r="H810" s="30"/>
    </row>
    <row r="811">
      <c r="A811" s="19">
        <v>811.0</v>
      </c>
      <c r="B811" s="47"/>
      <c r="C811" s="47"/>
      <c r="D811" s="47"/>
      <c r="E811" s="47"/>
      <c r="F811" s="47"/>
      <c r="G811" s="30"/>
      <c r="H811" s="30"/>
    </row>
    <row r="812">
      <c r="A812" s="19">
        <v>812.0</v>
      </c>
      <c r="B812" s="47"/>
      <c r="C812" s="47"/>
      <c r="D812" s="47"/>
      <c r="E812" s="47"/>
      <c r="F812" s="47"/>
      <c r="G812" s="30"/>
      <c r="H812" s="30"/>
    </row>
    <row r="813">
      <c r="A813" s="19">
        <v>813.0</v>
      </c>
      <c r="B813" s="47"/>
      <c r="C813" s="47"/>
      <c r="D813" s="47"/>
      <c r="E813" s="47"/>
      <c r="F813" s="47"/>
      <c r="G813" s="30"/>
      <c r="H813" s="30"/>
    </row>
    <row r="814">
      <c r="A814" s="19">
        <v>814.0</v>
      </c>
      <c r="B814" s="47"/>
      <c r="C814" s="47"/>
      <c r="D814" s="47"/>
      <c r="E814" s="47"/>
      <c r="F814" s="47"/>
      <c r="G814" s="30"/>
      <c r="H814" s="30"/>
    </row>
    <row r="815">
      <c r="A815" s="19">
        <v>815.0</v>
      </c>
      <c r="B815" s="47"/>
      <c r="C815" s="47"/>
      <c r="D815" s="47"/>
      <c r="E815" s="47"/>
      <c r="F815" s="47"/>
      <c r="G815" s="30"/>
      <c r="H815" s="30"/>
    </row>
    <row r="816">
      <c r="A816" s="19">
        <v>816.0</v>
      </c>
      <c r="B816" s="47"/>
      <c r="C816" s="47"/>
      <c r="D816" s="47"/>
      <c r="E816" s="47"/>
      <c r="F816" s="47"/>
      <c r="G816" s="30"/>
      <c r="H816" s="30"/>
    </row>
    <row r="817">
      <c r="A817" s="19">
        <v>817.0</v>
      </c>
      <c r="B817" s="47"/>
      <c r="C817" s="47"/>
      <c r="D817" s="47"/>
      <c r="E817" s="47"/>
      <c r="F817" s="47"/>
      <c r="G817" s="30"/>
      <c r="H817" s="30"/>
    </row>
    <row r="818">
      <c r="A818" s="19">
        <v>818.0</v>
      </c>
      <c r="B818" s="47"/>
      <c r="C818" s="47"/>
      <c r="D818" s="47"/>
      <c r="E818" s="47"/>
      <c r="F818" s="47"/>
      <c r="G818" s="30"/>
      <c r="H818" s="30"/>
    </row>
    <row r="819">
      <c r="A819" s="19">
        <v>819.0</v>
      </c>
      <c r="B819" s="47"/>
      <c r="C819" s="47"/>
      <c r="D819" s="47"/>
      <c r="E819" s="47"/>
      <c r="F819" s="47"/>
      <c r="G819" s="30"/>
      <c r="H819" s="30"/>
    </row>
    <row r="820">
      <c r="A820" s="19">
        <v>820.0</v>
      </c>
      <c r="B820" s="47"/>
      <c r="C820" s="47"/>
      <c r="D820" s="47"/>
      <c r="E820" s="47"/>
      <c r="F820" s="47"/>
      <c r="G820" s="30"/>
      <c r="H820" s="30"/>
    </row>
    <row r="821">
      <c r="A821" s="19">
        <v>821.0</v>
      </c>
      <c r="B821" s="47"/>
      <c r="C821" s="47"/>
      <c r="D821" s="47"/>
      <c r="E821" s="47"/>
      <c r="F821" s="47"/>
      <c r="G821" s="30"/>
      <c r="H821" s="30"/>
    </row>
    <row r="822">
      <c r="A822" s="19">
        <v>822.0</v>
      </c>
      <c r="B822" s="47"/>
      <c r="C822" s="47"/>
      <c r="D822" s="47"/>
      <c r="E822" s="47"/>
      <c r="F822" s="47"/>
      <c r="G822" s="30"/>
      <c r="H822" s="30"/>
    </row>
    <row r="823">
      <c r="A823" s="19">
        <v>823.0</v>
      </c>
      <c r="B823" s="47"/>
      <c r="C823" s="47"/>
      <c r="D823" s="47"/>
      <c r="E823" s="47"/>
      <c r="F823" s="47"/>
      <c r="G823" s="30"/>
      <c r="H823" s="30"/>
    </row>
    <row r="824">
      <c r="A824" s="19">
        <v>824.0</v>
      </c>
      <c r="B824" s="47"/>
      <c r="C824" s="47"/>
      <c r="D824" s="47"/>
      <c r="E824" s="47"/>
      <c r="F824" s="47"/>
      <c r="G824" s="30"/>
      <c r="H824" s="30"/>
    </row>
    <row r="825">
      <c r="A825" s="19">
        <v>825.0</v>
      </c>
      <c r="B825" s="47"/>
      <c r="C825" s="47"/>
      <c r="D825" s="47"/>
      <c r="E825" s="47"/>
      <c r="F825" s="47"/>
      <c r="G825" s="30"/>
      <c r="H825" s="30"/>
    </row>
    <row r="826">
      <c r="A826" s="19">
        <v>826.0</v>
      </c>
      <c r="B826" s="47"/>
      <c r="C826" s="47"/>
      <c r="D826" s="47"/>
      <c r="E826" s="47"/>
      <c r="F826" s="47"/>
      <c r="G826" s="30"/>
      <c r="H826" s="30"/>
    </row>
    <row r="827">
      <c r="A827" s="19">
        <v>827.0</v>
      </c>
      <c r="B827" s="47"/>
      <c r="C827" s="47"/>
      <c r="D827" s="47"/>
      <c r="E827" s="47"/>
      <c r="F827" s="47"/>
      <c r="G827" s="30"/>
      <c r="H827" s="30"/>
    </row>
    <row r="828">
      <c r="A828" s="19">
        <v>828.0</v>
      </c>
      <c r="B828" s="47"/>
      <c r="C828" s="47"/>
      <c r="D828" s="47"/>
      <c r="E828" s="47"/>
      <c r="F828" s="47"/>
      <c r="G828" s="30"/>
      <c r="H828" s="30"/>
    </row>
    <row r="829">
      <c r="A829" s="19">
        <v>829.0</v>
      </c>
      <c r="B829" s="47"/>
      <c r="C829" s="47"/>
      <c r="D829" s="47"/>
      <c r="E829" s="47"/>
      <c r="F829" s="47"/>
      <c r="G829" s="30"/>
      <c r="H829" s="30"/>
    </row>
    <row r="830">
      <c r="A830" s="19">
        <v>830.0</v>
      </c>
      <c r="B830" s="47"/>
      <c r="C830" s="47"/>
      <c r="D830" s="47"/>
      <c r="E830" s="47"/>
      <c r="F830" s="47"/>
      <c r="G830" s="30"/>
      <c r="H830" s="30"/>
    </row>
    <row r="831">
      <c r="A831" s="19">
        <v>831.0</v>
      </c>
      <c r="B831" s="47"/>
      <c r="C831" s="47"/>
      <c r="D831" s="47"/>
      <c r="E831" s="47"/>
      <c r="F831" s="47"/>
      <c r="G831" s="30"/>
      <c r="H831" s="30"/>
    </row>
    <row r="832">
      <c r="A832" s="19">
        <v>832.0</v>
      </c>
      <c r="B832" s="47"/>
      <c r="C832" s="47"/>
      <c r="D832" s="47"/>
      <c r="E832" s="47"/>
      <c r="F832" s="47"/>
      <c r="G832" s="30"/>
      <c r="H832" s="30"/>
    </row>
    <row r="833">
      <c r="A833" s="19">
        <v>833.0</v>
      </c>
      <c r="B833" s="47"/>
      <c r="C833" s="47"/>
      <c r="D833" s="47"/>
      <c r="E833" s="47"/>
      <c r="F833" s="47"/>
      <c r="G833" s="30"/>
      <c r="H833" s="30"/>
    </row>
    <row r="834">
      <c r="A834" s="19">
        <v>834.0</v>
      </c>
      <c r="B834" s="47"/>
      <c r="C834" s="47"/>
      <c r="D834" s="47"/>
      <c r="E834" s="47"/>
      <c r="F834" s="47"/>
      <c r="G834" s="30"/>
      <c r="H834" s="30"/>
    </row>
    <row r="835">
      <c r="A835" s="19">
        <v>835.0</v>
      </c>
      <c r="B835" s="47"/>
      <c r="C835" s="47"/>
      <c r="D835" s="47"/>
      <c r="E835" s="47"/>
      <c r="F835" s="47"/>
      <c r="G835" s="30"/>
      <c r="H835" s="30"/>
    </row>
    <row r="836">
      <c r="A836" s="19">
        <v>836.0</v>
      </c>
      <c r="B836" s="47"/>
      <c r="C836" s="47"/>
      <c r="D836" s="47"/>
      <c r="E836" s="47"/>
      <c r="F836" s="47"/>
      <c r="G836" s="30"/>
      <c r="H836" s="30"/>
    </row>
    <row r="837">
      <c r="A837" s="19">
        <v>837.0</v>
      </c>
      <c r="B837" s="47"/>
      <c r="C837" s="47"/>
      <c r="D837" s="47"/>
      <c r="E837" s="47"/>
      <c r="F837" s="47"/>
      <c r="G837" s="30"/>
      <c r="H837" s="30"/>
    </row>
    <row r="838">
      <c r="A838" s="19">
        <v>838.0</v>
      </c>
      <c r="B838" s="47"/>
      <c r="C838" s="47"/>
      <c r="D838" s="47"/>
      <c r="E838" s="47"/>
      <c r="F838" s="47"/>
      <c r="G838" s="30"/>
      <c r="H838" s="30"/>
    </row>
    <row r="839">
      <c r="A839" s="19">
        <v>839.0</v>
      </c>
      <c r="B839" s="47"/>
      <c r="C839" s="47"/>
      <c r="D839" s="47"/>
      <c r="E839" s="47"/>
      <c r="F839" s="47"/>
      <c r="G839" s="30"/>
      <c r="H839" s="30"/>
    </row>
    <row r="840">
      <c r="A840" s="19">
        <v>840.0</v>
      </c>
      <c r="B840" s="47"/>
      <c r="C840" s="47"/>
      <c r="D840" s="47"/>
      <c r="E840" s="47"/>
      <c r="F840" s="47"/>
      <c r="G840" s="30"/>
      <c r="H840" s="30"/>
    </row>
    <row r="841">
      <c r="A841" s="19">
        <v>841.0</v>
      </c>
      <c r="B841" s="47"/>
      <c r="C841" s="47"/>
      <c r="D841" s="47"/>
      <c r="E841" s="47"/>
      <c r="F841" s="47"/>
      <c r="G841" s="30"/>
      <c r="H841" s="30"/>
    </row>
    <row r="842">
      <c r="A842" s="19">
        <v>842.0</v>
      </c>
      <c r="B842" s="47"/>
      <c r="C842" s="47"/>
      <c r="D842" s="47"/>
      <c r="E842" s="47"/>
      <c r="F842" s="47"/>
      <c r="G842" s="30"/>
      <c r="H842" s="30"/>
    </row>
    <row r="843">
      <c r="A843" s="19">
        <v>843.0</v>
      </c>
      <c r="B843" s="47"/>
      <c r="C843" s="47"/>
      <c r="D843" s="47"/>
      <c r="E843" s="47"/>
      <c r="F843" s="47"/>
      <c r="G843" s="30"/>
      <c r="H843" s="30"/>
    </row>
    <row r="844">
      <c r="A844" s="19">
        <v>844.0</v>
      </c>
      <c r="B844" s="47"/>
      <c r="C844" s="47"/>
      <c r="D844" s="47"/>
      <c r="E844" s="47"/>
      <c r="F844" s="47"/>
      <c r="G844" s="30"/>
      <c r="H844" s="30"/>
    </row>
    <row r="845">
      <c r="A845" s="19">
        <v>845.0</v>
      </c>
      <c r="B845" s="47"/>
      <c r="C845" s="47"/>
      <c r="D845" s="47"/>
      <c r="E845" s="47"/>
      <c r="F845" s="47"/>
      <c r="G845" s="30"/>
      <c r="H845" s="30"/>
    </row>
    <row r="846">
      <c r="A846" s="19">
        <v>846.0</v>
      </c>
      <c r="B846" s="47"/>
      <c r="C846" s="47"/>
      <c r="D846" s="47"/>
      <c r="E846" s="47"/>
      <c r="F846" s="47"/>
      <c r="G846" s="30"/>
      <c r="H846" s="30"/>
    </row>
    <row r="847">
      <c r="A847" s="19">
        <v>847.0</v>
      </c>
      <c r="B847" s="47"/>
      <c r="C847" s="47"/>
      <c r="D847" s="47"/>
      <c r="E847" s="47"/>
      <c r="F847" s="47"/>
      <c r="G847" s="30"/>
      <c r="H847" s="30"/>
    </row>
    <row r="848">
      <c r="A848" s="19">
        <v>848.0</v>
      </c>
      <c r="B848" s="47"/>
      <c r="C848" s="47"/>
      <c r="D848" s="47"/>
      <c r="E848" s="47"/>
      <c r="F848" s="47"/>
      <c r="G848" s="30"/>
      <c r="H848" s="30"/>
    </row>
    <row r="849">
      <c r="A849" s="19">
        <v>849.0</v>
      </c>
      <c r="B849" s="47"/>
      <c r="C849" s="47"/>
      <c r="D849" s="47"/>
      <c r="E849" s="47"/>
      <c r="F849" s="47"/>
      <c r="G849" s="30"/>
      <c r="H849" s="30"/>
    </row>
    <row r="850">
      <c r="A850" s="19">
        <v>850.0</v>
      </c>
      <c r="B850" s="47"/>
      <c r="C850" s="47"/>
      <c r="D850" s="47"/>
      <c r="E850" s="47"/>
      <c r="F850" s="47"/>
      <c r="G850" s="30"/>
      <c r="H850" s="30"/>
    </row>
    <row r="851">
      <c r="A851" s="19">
        <v>851.0</v>
      </c>
      <c r="B851" s="47"/>
      <c r="C851" s="47"/>
      <c r="D851" s="47"/>
      <c r="E851" s="47"/>
      <c r="F851" s="47"/>
      <c r="G851" s="30"/>
      <c r="H851" s="30"/>
    </row>
    <row r="852">
      <c r="A852" s="19">
        <v>852.0</v>
      </c>
      <c r="B852" s="47"/>
      <c r="C852" s="47"/>
      <c r="D852" s="47"/>
      <c r="E852" s="47"/>
      <c r="F852" s="47"/>
      <c r="G852" s="30"/>
      <c r="H852" s="30"/>
    </row>
    <row r="853">
      <c r="A853" s="19">
        <v>853.0</v>
      </c>
      <c r="B853" s="47"/>
      <c r="C853" s="47"/>
      <c r="D853" s="47"/>
      <c r="E853" s="47"/>
      <c r="F853" s="47"/>
      <c r="G853" s="30"/>
      <c r="H853" s="30"/>
    </row>
    <row r="854">
      <c r="A854" s="19">
        <v>854.0</v>
      </c>
      <c r="B854" s="47"/>
      <c r="C854" s="47"/>
      <c r="D854" s="47"/>
      <c r="E854" s="47"/>
      <c r="F854" s="47"/>
      <c r="G854" s="30"/>
      <c r="H854" s="30"/>
    </row>
    <row r="855">
      <c r="A855" s="19">
        <v>855.0</v>
      </c>
      <c r="B855" s="47"/>
      <c r="C855" s="47"/>
      <c r="D855" s="47"/>
      <c r="E855" s="47"/>
      <c r="F855" s="47"/>
      <c r="G855" s="30"/>
      <c r="H855" s="30"/>
    </row>
    <row r="856">
      <c r="A856" s="19">
        <v>856.0</v>
      </c>
      <c r="B856" s="47"/>
      <c r="C856" s="47"/>
      <c r="D856" s="47"/>
      <c r="E856" s="47"/>
      <c r="F856" s="47"/>
      <c r="G856" s="30"/>
      <c r="H856" s="30"/>
    </row>
    <row r="857">
      <c r="A857" s="19">
        <v>857.0</v>
      </c>
      <c r="B857" s="47"/>
      <c r="C857" s="47"/>
      <c r="D857" s="47"/>
      <c r="E857" s="47"/>
      <c r="F857" s="47"/>
      <c r="G857" s="30"/>
      <c r="H857" s="30"/>
    </row>
    <row r="858">
      <c r="A858" s="19">
        <v>858.0</v>
      </c>
      <c r="B858" s="47"/>
      <c r="C858" s="47"/>
      <c r="D858" s="47"/>
      <c r="E858" s="47"/>
      <c r="F858" s="47"/>
      <c r="G858" s="30"/>
      <c r="H858" s="30"/>
    </row>
    <row r="859">
      <c r="A859" s="19">
        <v>859.0</v>
      </c>
      <c r="B859" s="47"/>
      <c r="C859" s="47"/>
      <c r="D859" s="47"/>
      <c r="E859" s="47"/>
      <c r="F859" s="47"/>
      <c r="G859" s="30"/>
      <c r="H859" s="30"/>
    </row>
    <row r="860">
      <c r="A860" s="19">
        <v>860.0</v>
      </c>
      <c r="B860" s="47"/>
      <c r="C860" s="47"/>
      <c r="D860" s="47"/>
      <c r="E860" s="47"/>
      <c r="F860" s="47"/>
      <c r="G860" s="30"/>
      <c r="H860" s="30"/>
    </row>
    <row r="861">
      <c r="A861" s="19">
        <v>861.0</v>
      </c>
      <c r="B861" s="47"/>
      <c r="C861" s="47"/>
      <c r="D861" s="47"/>
      <c r="E861" s="47"/>
      <c r="F861" s="47"/>
      <c r="G861" s="30"/>
      <c r="H861" s="30"/>
    </row>
    <row r="862">
      <c r="A862" s="19">
        <v>862.0</v>
      </c>
      <c r="B862" s="47"/>
      <c r="C862" s="47"/>
      <c r="D862" s="47"/>
      <c r="E862" s="47"/>
      <c r="F862" s="47"/>
      <c r="G862" s="30"/>
      <c r="H862" s="30"/>
    </row>
    <row r="863">
      <c r="A863" s="19">
        <v>863.0</v>
      </c>
      <c r="B863" s="47"/>
      <c r="C863" s="47"/>
      <c r="D863" s="47"/>
      <c r="E863" s="47"/>
      <c r="F863" s="47"/>
      <c r="G863" s="30"/>
      <c r="H863" s="30"/>
    </row>
    <row r="864">
      <c r="A864" s="19">
        <v>864.0</v>
      </c>
      <c r="B864" s="47"/>
      <c r="C864" s="47"/>
      <c r="D864" s="47"/>
      <c r="E864" s="47"/>
      <c r="F864" s="47"/>
      <c r="G864" s="30"/>
      <c r="H864" s="30"/>
    </row>
    <row r="865">
      <c r="A865" s="19">
        <v>865.0</v>
      </c>
      <c r="B865" s="47"/>
      <c r="C865" s="47"/>
      <c r="D865" s="47"/>
      <c r="E865" s="47"/>
      <c r="F865" s="47"/>
      <c r="G865" s="30"/>
      <c r="H865" s="30"/>
    </row>
    <row r="866">
      <c r="A866" s="19">
        <v>866.0</v>
      </c>
      <c r="B866" s="47"/>
      <c r="C866" s="47"/>
      <c r="D866" s="47"/>
      <c r="E866" s="47"/>
      <c r="F866" s="47"/>
      <c r="G866" s="30"/>
      <c r="H866" s="30"/>
    </row>
    <row r="867">
      <c r="A867" s="19">
        <v>867.0</v>
      </c>
      <c r="B867" s="47"/>
      <c r="C867" s="47"/>
      <c r="D867" s="47"/>
      <c r="E867" s="47"/>
      <c r="F867" s="47"/>
      <c r="G867" s="30"/>
      <c r="H867" s="30"/>
    </row>
    <row r="868">
      <c r="A868" s="19">
        <v>868.0</v>
      </c>
      <c r="B868" s="47"/>
      <c r="C868" s="47"/>
      <c r="D868" s="47"/>
      <c r="E868" s="47"/>
      <c r="F868" s="47"/>
      <c r="G868" s="30"/>
      <c r="H868" s="30"/>
    </row>
    <row r="869">
      <c r="A869" s="19">
        <v>869.0</v>
      </c>
      <c r="B869" s="47"/>
      <c r="C869" s="47"/>
      <c r="D869" s="47"/>
      <c r="E869" s="47"/>
      <c r="F869" s="47"/>
      <c r="G869" s="30"/>
      <c r="H869" s="30"/>
    </row>
    <row r="870">
      <c r="A870" s="19">
        <v>870.0</v>
      </c>
      <c r="B870" s="47"/>
      <c r="C870" s="47"/>
      <c r="D870" s="47"/>
      <c r="E870" s="47"/>
      <c r="F870" s="47"/>
      <c r="G870" s="30"/>
      <c r="H870" s="30"/>
    </row>
    <row r="871">
      <c r="A871" s="19">
        <v>871.0</v>
      </c>
      <c r="B871" s="47"/>
      <c r="C871" s="47"/>
      <c r="D871" s="47"/>
      <c r="E871" s="47"/>
      <c r="F871" s="47"/>
      <c r="G871" s="30"/>
      <c r="H871" s="30"/>
    </row>
    <row r="872">
      <c r="A872" s="19">
        <v>872.0</v>
      </c>
      <c r="B872" s="47"/>
      <c r="C872" s="47"/>
      <c r="D872" s="47"/>
      <c r="E872" s="47"/>
      <c r="F872" s="47"/>
      <c r="G872" s="30"/>
      <c r="H872" s="30"/>
    </row>
    <row r="873">
      <c r="A873" s="19">
        <v>873.0</v>
      </c>
      <c r="B873" s="47"/>
      <c r="C873" s="47"/>
      <c r="D873" s="47"/>
      <c r="E873" s="47"/>
      <c r="F873" s="47"/>
      <c r="G873" s="30"/>
      <c r="H873" s="30"/>
    </row>
    <row r="874">
      <c r="A874" s="19">
        <v>874.0</v>
      </c>
      <c r="B874" s="47"/>
      <c r="C874" s="47"/>
      <c r="D874" s="47"/>
      <c r="E874" s="47"/>
      <c r="F874" s="47"/>
      <c r="G874" s="30"/>
      <c r="H874" s="30"/>
    </row>
    <row r="875">
      <c r="A875" s="19">
        <v>875.0</v>
      </c>
      <c r="B875" s="47"/>
      <c r="C875" s="47"/>
      <c r="D875" s="47"/>
      <c r="E875" s="47"/>
      <c r="F875" s="47"/>
      <c r="G875" s="30"/>
      <c r="H875" s="30"/>
    </row>
    <row r="876">
      <c r="A876" s="19">
        <v>876.0</v>
      </c>
      <c r="B876" s="47"/>
      <c r="C876" s="47"/>
      <c r="D876" s="47"/>
      <c r="E876" s="47"/>
      <c r="F876" s="47"/>
      <c r="G876" s="30"/>
      <c r="H876" s="30"/>
    </row>
    <row r="877">
      <c r="A877" s="19">
        <v>877.0</v>
      </c>
      <c r="B877" s="47"/>
      <c r="C877" s="47"/>
      <c r="D877" s="47"/>
      <c r="E877" s="47"/>
      <c r="F877" s="47"/>
      <c r="G877" s="30"/>
      <c r="H877" s="30"/>
    </row>
    <row r="878">
      <c r="A878" s="19">
        <v>878.0</v>
      </c>
      <c r="B878" s="47"/>
      <c r="C878" s="47"/>
      <c r="D878" s="47"/>
      <c r="E878" s="47"/>
      <c r="F878" s="47"/>
      <c r="G878" s="30"/>
      <c r="H878" s="30"/>
    </row>
    <row r="879">
      <c r="A879" s="19">
        <v>879.0</v>
      </c>
      <c r="B879" s="47"/>
      <c r="C879" s="47"/>
      <c r="D879" s="47"/>
      <c r="E879" s="47"/>
      <c r="F879" s="47"/>
      <c r="G879" s="30"/>
      <c r="H879" s="30"/>
    </row>
    <row r="880">
      <c r="A880" s="19">
        <v>880.0</v>
      </c>
      <c r="B880" s="47"/>
      <c r="C880" s="47"/>
      <c r="D880" s="47"/>
      <c r="E880" s="47"/>
      <c r="F880" s="47"/>
      <c r="G880" s="30"/>
      <c r="H880" s="30"/>
    </row>
    <row r="881">
      <c r="A881" s="19">
        <v>881.0</v>
      </c>
      <c r="B881" s="47"/>
      <c r="C881" s="47"/>
      <c r="D881" s="47"/>
      <c r="E881" s="47"/>
      <c r="F881" s="47"/>
      <c r="G881" s="30"/>
      <c r="H881" s="30"/>
    </row>
    <row r="882">
      <c r="A882" s="19">
        <v>882.0</v>
      </c>
      <c r="B882" s="47"/>
      <c r="C882" s="47"/>
      <c r="D882" s="47"/>
      <c r="E882" s="47"/>
      <c r="F882" s="47"/>
      <c r="G882" s="30"/>
      <c r="H882" s="30"/>
    </row>
    <row r="883">
      <c r="A883" s="19">
        <v>883.0</v>
      </c>
      <c r="B883" s="47"/>
      <c r="C883" s="47"/>
      <c r="D883" s="47"/>
      <c r="E883" s="47"/>
      <c r="F883" s="47"/>
      <c r="G883" s="30"/>
      <c r="H883" s="30"/>
    </row>
    <row r="884">
      <c r="A884" s="19">
        <v>884.0</v>
      </c>
      <c r="B884" s="47"/>
      <c r="C884" s="47"/>
      <c r="D884" s="47"/>
      <c r="E884" s="47"/>
      <c r="F884" s="47"/>
      <c r="G884" s="30"/>
      <c r="H884" s="30"/>
    </row>
    <row r="885">
      <c r="A885" s="19">
        <v>885.0</v>
      </c>
      <c r="B885" s="47"/>
      <c r="C885" s="47"/>
      <c r="D885" s="47"/>
      <c r="E885" s="47"/>
      <c r="F885" s="47"/>
      <c r="G885" s="30"/>
      <c r="H885" s="30"/>
    </row>
    <row r="886">
      <c r="A886" s="19">
        <v>886.0</v>
      </c>
      <c r="B886" s="47"/>
      <c r="C886" s="47"/>
      <c r="D886" s="47"/>
      <c r="E886" s="47"/>
      <c r="F886" s="47"/>
      <c r="G886" s="30"/>
      <c r="H886" s="30"/>
    </row>
    <row r="887">
      <c r="A887" s="19">
        <v>887.0</v>
      </c>
      <c r="B887" s="47"/>
      <c r="C887" s="47"/>
      <c r="D887" s="47"/>
      <c r="E887" s="47"/>
      <c r="F887" s="47"/>
      <c r="G887" s="30"/>
      <c r="H887" s="30"/>
    </row>
    <row r="888">
      <c r="A888" s="19">
        <v>888.0</v>
      </c>
      <c r="B888" s="47"/>
      <c r="C888" s="47"/>
      <c r="D888" s="47"/>
      <c r="E888" s="47"/>
      <c r="F888" s="47"/>
      <c r="G888" s="30"/>
      <c r="H888" s="30"/>
    </row>
    <row r="889">
      <c r="A889" s="19">
        <v>889.0</v>
      </c>
      <c r="B889" s="47"/>
      <c r="C889" s="47"/>
      <c r="D889" s="47"/>
      <c r="E889" s="47"/>
      <c r="F889" s="47"/>
      <c r="G889" s="30"/>
      <c r="H889" s="30"/>
    </row>
    <row r="890">
      <c r="A890" s="19">
        <v>890.0</v>
      </c>
      <c r="B890" s="47"/>
      <c r="C890" s="47"/>
      <c r="D890" s="47"/>
      <c r="E890" s="47"/>
      <c r="F890" s="47"/>
      <c r="G890" s="30"/>
      <c r="H890" s="30"/>
    </row>
    <row r="891">
      <c r="A891" s="19">
        <v>891.0</v>
      </c>
      <c r="B891" s="47"/>
      <c r="C891" s="47"/>
      <c r="D891" s="47"/>
      <c r="E891" s="47"/>
      <c r="F891" s="47"/>
      <c r="G891" s="30"/>
      <c r="H891" s="30"/>
    </row>
    <row r="892">
      <c r="A892" s="19">
        <v>892.0</v>
      </c>
      <c r="B892" s="47"/>
      <c r="C892" s="47"/>
      <c r="D892" s="47"/>
      <c r="E892" s="47"/>
      <c r="F892" s="47"/>
      <c r="G892" s="30"/>
      <c r="H892" s="30"/>
    </row>
    <row r="893">
      <c r="A893" s="19">
        <v>893.0</v>
      </c>
      <c r="B893" s="47"/>
      <c r="C893" s="47"/>
      <c r="D893" s="47"/>
      <c r="E893" s="47"/>
      <c r="F893" s="47"/>
      <c r="G893" s="30"/>
      <c r="H893" s="30"/>
    </row>
    <row r="894">
      <c r="A894" s="19">
        <v>894.0</v>
      </c>
      <c r="B894" s="47"/>
      <c r="C894" s="47"/>
      <c r="D894" s="47"/>
      <c r="E894" s="47"/>
      <c r="F894" s="47"/>
      <c r="G894" s="30"/>
      <c r="H894" s="30"/>
    </row>
    <row r="895">
      <c r="A895" s="19">
        <v>895.0</v>
      </c>
      <c r="B895" s="47"/>
      <c r="C895" s="47"/>
      <c r="D895" s="47"/>
      <c r="E895" s="47"/>
      <c r="F895" s="47"/>
      <c r="G895" s="30"/>
      <c r="H895" s="30"/>
    </row>
    <row r="896">
      <c r="A896" s="19">
        <v>896.0</v>
      </c>
      <c r="B896" s="47"/>
      <c r="C896" s="47"/>
      <c r="D896" s="47"/>
      <c r="E896" s="47"/>
      <c r="F896" s="47"/>
      <c r="G896" s="30"/>
      <c r="H896" s="30"/>
    </row>
    <row r="897">
      <c r="A897" s="19">
        <v>897.0</v>
      </c>
      <c r="B897" s="47"/>
      <c r="C897" s="47"/>
      <c r="D897" s="47"/>
      <c r="E897" s="47"/>
      <c r="F897" s="47"/>
      <c r="G897" s="30"/>
      <c r="H897" s="30"/>
    </row>
    <row r="898">
      <c r="A898" s="19">
        <v>898.0</v>
      </c>
      <c r="B898" s="47"/>
      <c r="C898" s="47"/>
      <c r="D898" s="47"/>
      <c r="E898" s="47"/>
      <c r="F898" s="47"/>
      <c r="G898" s="30"/>
      <c r="H898" s="30"/>
    </row>
    <row r="899">
      <c r="A899" s="19">
        <v>899.0</v>
      </c>
      <c r="B899" s="47"/>
      <c r="C899" s="47"/>
      <c r="D899" s="47"/>
      <c r="E899" s="47"/>
      <c r="F899" s="47"/>
      <c r="G899" s="30"/>
      <c r="H899" s="30"/>
    </row>
    <row r="900">
      <c r="A900" s="19">
        <v>900.0</v>
      </c>
      <c r="B900" s="47"/>
      <c r="C900" s="47"/>
      <c r="D900" s="47"/>
      <c r="E900" s="47"/>
      <c r="F900" s="47"/>
      <c r="G900" s="30"/>
      <c r="H900" s="30"/>
    </row>
    <row r="901">
      <c r="A901" s="19">
        <v>901.0</v>
      </c>
      <c r="B901" s="47"/>
      <c r="C901" s="47"/>
      <c r="D901" s="47"/>
      <c r="E901" s="47"/>
      <c r="F901" s="47"/>
      <c r="G901" s="30"/>
      <c r="H901" s="30"/>
    </row>
    <row r="902">
      <c r="A902" s="19">
        <v>902.0</v>
      </c>
      <c r="B902" s="47"/>
      <c r="C902" s="47"/>
      <c r="D902" s="47"/>
      <c r="E902" s="47"/>
      <c r="F902" s="47"/>
      <c r="G902" s="30"/>
      <c r="H902" s="30"/>
    </row>
    <row r="903">
      <c r="A903" s="19">
        <v>903.0</v>
      </c>
      <c r="B903" s="47"/>
      <c r="C903" s="47"/>
      <c r="D903" s="47"/>
      <c r="E903" s="47"/>
      <c r="F903" s="47"/>
      <c r="G903" s="30"/>
      <c r="H903" s="30"/>
    </row>
    <row r="904">
      <c r="A904" s="19">
        <v>904.0</v>
      </c>
      <c r="B904" s="47"/>
      <c r="C904" s="47"/>
      <c r="D904" s="47"/>
      <c r="E904" s="47"/>
      <c r="F904" s="47"/>
      <c r="G904" s="30"/>
      <c r="H904" s="30"/>
    </row>
    <row r="905">
      <c r="A905" s="19">
        <v>905.0</v>
      </c>
      <c r="B905" s="47"/>
      <c r="C905" s="47"/>
      <c r="D905" s="47"/>
      <c r="E905" s="47"/>
      <c r="F905" s="47"/>
      <c r="G905" s="30"/>
      <c r="H905" s="30"/>
    </row>
    <row r="906">
      <c r="A906" s="19">
        <v>906.0</v>
      </c>
      <c r="B906" s="47"/>
      <c r="C906" s="47"/>
      <c r="D906" s="47"/>
      <c r="E906" s="47"/>
      <c r="F906" s="47"/>
      <c r="G906" s="30"/>
      <c r="H906" s="30"/>
    </row>
    <row r="907">
      <c r="A907" s="19">
        <v>907.0</v>
      </c>
      <c r="B907" s="47"/>
      <c r="C907" s="47"/>
      <c r="D907" s="47"/>
      <c r="E907" s="47"/>
      <c r="F907" s="47"/>
      <c r="G907" s="30"/>
      <c r="H907" s="30"/>
    </row>
    <row r="908">
      <c r="A908" s="19">
        <v>908.0</v>
      </c>
      <c r="B908" s="47"/>
      <c r="C908" s="47"/>
      <c r="D908" s="47"/>
      <c r="E908" s="47"/>
      <c r="F908" s="47"/>
      <c r="G908" s="30"/>
      <c r="H908" s="30"/>
    </row>
    <row r="909">
      <c r="A909" s="19">
        <v>909.0</v>
      </c>
      <c r="B909" s="47"/>
      <c r="C909" s="47"/>
      <c r="D909" s="47"/>
      <c r="E909" s="47"/>
      <c r="F909" s="47"/>
      <c r="G909" s="30"/>
      <c r="H909" s="30"/>
    </row>
    <row r="910">
      <c r="A910" s="19">
        <v>910.0</v>
      </c>
      <c r="B910" s="47"/>
      <c r="C910" s="47"/>
      <c r="D910" s="47"/>
      <c r="E910" s="47"/>
      <c r="F910" s="47"/>
      <c r="G910" s="30"/>
      <c r="H910" s="30"/>
    </row>
    <row r="911">
      <c r="A911" s="19">
        <v>911.0</v>
      </c>
      <c r="B911" s="47"/>
      <c r="C911" s="47"/>
      <c r="D911" s="47"/>
      <c r="E911" s="47"/>
      <c r="F911" s="47"/>
      <c r="G911" s="30"/>
      <c r="H911" s="30"/>
    </row>
    <row r="912">
      <c r="A912" s="19">
        <v>912.0</v>
      </c>
      <c r="B912" s="47"/>
      <c r="C912" s="47"/>
      <c r="D912" s="47"/>
      <c r="E912" s="47"/>
      <c r="F912" s="47"/>
      <c r="G912" s="30"/>
      <c r="H912" s="30"/>
    </row>
    <row r="913">
      <c r="A913" s="19">
        <v>913.0</v>
      </c>
      <c r="B913" s="47"/>
      <c r="C913" s="47"/>
      <c r="D913" s="47"/>
      <c r="E913" s="47"/>
      <c r="F913" s="47"/>
      <c r="G913" s="30"/>
      <c r="H913" s="30"/>
    </row>
    <row r="914">
      <c r="A914" s="19">
        <v>914.0</v>
      </c>
      <c r="B914" s="47"/>
      <c r="C914" s="47"/>
      <c r="D914" s="47"/>
      <c r="E914" s="47"/>
      <c r="F914" s="47"/>
      <c r="G914" s="30"/>
      <c r="H914" s="30"/>
    </row>
    <row r="915">
      <c r="A915" s="19">
        <v>915.0</v>
      </c>
      <c r="B915" s="47"/>
      <c r="C915" s="47"/>
      <c r="D915" s="47"/>
      <c r="E915" s="47"/>
      <c r="F915" s="47"/>
      <c r="G915" s="30"/>
      <c r="H915" s="30"/>
    </row>
    <row r="916">
      <c r="A916" s="19">
        <v>916.0</v>
      </c>
      <c r="B916" s="47"/>
      <c r="C916" s="47"/>
      <c r="D916" s="47"/>
      <c r="E916" s="47"/>
      <c r="F916" s="47"/>
      <c r="G916" s="30"/>
      <c r="H916" s="30"/>
    </row>
    <row r="917">
      <c r="A917" s="19">
        <v>917.0</v>
      </c>
      <c r="B917" s="47"/>
      <c r="C917" s="47"/>
      <c r="D917" s="47"/>
      <c r="E917" s="47"/>
      <c r="F917" s="47"/>
      <c r="G917" s="30"/>
      <c r="H917" s="30"/>
    </row>
    <row r="918">
      <c r="A918" s="19">
        <v>918.0</v>
      </c>
      <c r="B918" s="47"/>
      <c r="C918" s="47"/>
      <c r="D918" s="47"/>
      <c r="E918" s="47"/>
      <c r="F918" s="47"/>
      <c r="G918" s="30"/>
      <c r="H918" s="30"/>
    </row>
    <row r="919">
      <c r="A919" s="19">
        <v>919.0</v>
      </c>
      <c r="B919" s="47"/>
      <c r="C919" s="47"/>
      <c r="D919" s="47"/>
      <c r="E919" s="47"/>
      <c r="F919" s="47"/>
      <c r="G919" s="30"/>
      <c r="H919" s="30"/>
    </row>
    <row r="920">
      <c r="A920" s="19">
        <v>920.0</v>
      </c>
      <c r="B920" s="47"/>
      <c r="C920" s="47"/>
      <c r="D920" s="47"/>
      <c r="E920" s="47"/>
      <c r="F920" s="47"/>
      <c r="G920" s="30"/>
      <c r="H920" s="30"/>
    </row>
    <row r="921">
      <c r="A921" s="19">
        <v>921.0</v>
      </c>
      <c r="B921" s="47"/>
      <c r="C921" s="47"/>
      <c r="D921" s="47"/>
      <c r="E921" s="47"/>
      <c r="F921" s="47"/>
      <c r="G921" s="30"/>
      <c r="H921" s="30"/>
    </row>
    <row r="922">
      <c r="A922" s="19">
        <v>922.0</v>
      </c>
      <c r="B922" s="47"/>
      <c r="C922" s="47"/>
      <c r="D922" s="47"/>
      <c r="E922" s="47"/>
      <c r="F922" s="47"/>
      <c r="G922" s="30"/>
      <c r="H922" s="30"/>
    </row>
    <row r="923">
      <c r="A923" s="19">
        <v>923.0</v>
      </c>
      <c r="B923" s="47"/>
      <c r="C923" s="47"/>
      <c r="D923" s="47"/>
      <c r="E923" s="47"/>
      <c r="F923" s="47"/>
      <c r="G923" s="30"/>
      <c r="H923" s="30"/>
    </row>
    <row r="924">
      <c r="A924" s="19">
        <v>924.0</v>
      </c>
      <c r="B924" s="47"/>
      <c r="C924" s="47"/>
      <c r="D924" s="47"/>
      <c r="E924" s="47"/>
      <c r="F924" s="47"/>
      <c r="G924" s="30"/>
      <c r="H924" s="30"/>
    </row>
    <row r="925">
      <c r="A925" s="19">
        <v>925.0</v>
      </c>
      <c r="B925" s="47"/>
      <c r="C925" s="47"/>
      <c r="D925" s="47"/>
      <c r="E925" s="47"/>
      <c r="F925" s="47"/>
      <c r="G925" s="30"/>
      <c r="H925" s="30"/>
    </row>
    <row r="926">
      <c r="A926" s="19">
        <v>926.0</v>
      </c>
      <c r="B926" s="47"/>
      <c r="C926" s="47"/>
      <c r="D926" s="47"/>
      <c r="E926" s="47"/>
      <c r="F926" s="47"/>
      <c r="G926" s="30"/>
      <c r="H926" s="30"/>
    </row>
    <row r="927">
      <c r="A927" s="19">
        <v>927.0</v>
      </c>
      <c r="B927" s="47"/>
      <c r="C927" s="47"/>
      <c r="D927" s="47"/>
      <c r="E927" s="47"/>
      <c r="F927" s="47"/>
      <c r="G927" s="30"/>
      <c r="H927" s="30"/>
    </row>
    <row r="928">
      <c r="A928" s="19">
        <v>928.0</v>
      </c>
      <c r="B928" s="47"/>
      <c r="C928" s="47"/>
      <c r="D928" s="47"/>
      <c r="E928" s="47"/>
      <c r="F928" s="47"/>
      <c r="G928" s="30"/>
      <c r="H928" s="30"/>
    </row>
    <row r="929">
      <c r="A929" s="19">
        <v>929.0</v>
      </c>
      <c r="B929" s="47"/>
      <c r="C929" s="47"/>
      <c r="D929" s="47"/>
      <c r="E929" s="47"/>
      <c r="F929" s="47"/>
      <c r="G929" s="30"/>
      <c r="H929" s="30"/>
    </row>
    <row r="930">
      <c r="A930" s="19">
        <v>930.0</v>
      </c>
      <c r="B930" s="47"/>
      <c r="C930" s="47"/>
      <c r="D930" s="47"/>
      <c r="E930" s="47"/>
      <c r="F930" s="47"/>
      <c r="G930" s="30"/>
      <c r="H930" s="30"/>
    </row>
    <row r="931">
      <c r="A931" s="19">
        <v>931.0</v>
      </c>
      <c r="B931" s="47"/>
      <c r="C931" s="47"/>
      <c r="D931" s="47"/>
      <c r="E931" s="47"/>
      <c r="F931" s="47"/>
      <c r="G931" s="30"/>
      <c r="H931" s="30"/>
    </row>
    <row r="932">
      <c r="A932" s="19">
        <v>932.0</v>
      </c>
      <c r="B932" s="47"/>
      <c r="C932" s="47"/>
      <c r="D932" s="47"/>
      <c r="E932" s="47"/>
      <c r="F932" s="47"/>
      <c r="G932" s="30"/>
      <c r="H932" s="30"/>
    </row>
    <row r="933">
      <c r="A933" s="19">
        <v>933.0</v>
      </c>
      <c r="B933" s="47"/>
      <c r="C933" s="47"/>
      <c r="D933" s="47"/>
      <c r="E933" s="47"/>
      <c r="F933" s="47"/>
      <c r="G933" s="30"/>
      <c r="H933" s="30"/>
    </row>
    <row r="934">
      <c r="A934" s="19">
        <v>934.0</v>
      </c>
      <c r="B934" s="47"/>
      <c r="C934" s="47"/>
      <c r="D934" s="47"/>
      <c r="E934" s="47"/>
      <c r="F934" s="47"/>
      <c r="G934" s="30"/>
      <c r="H934" s="30"/>
    </row>
    <row r="935">
      <c r="A935" s="19">
        <v>935.0</v>
      </c>
      <c r="B935" s="47"/>
      <c r="C935" s="47"/>
      <c r="D935" s="47"/>
      <c r="E935" s="47"/>
      <c r="F935" s="47"/>
      <c r="G935" s="30"/>
      <c r="H935" s="30"/>
    </row>
    <row r="936">
      <c r="A936" s="19">
        <v>936.0</v>
      </c>
      <c r="B936" s="47"/>
      <c r="C936" s="47"/>
      <c r="D936" s="47"/>
      <c r="E936" s="47"/>
      <c r="F936" s="47"/>
      <c r="G936" s="30"/>
      <c r="H936" s="30"/>
    </row>
    <row r="937">
      <c r="A937" s="19">
        <v>937.0</v>
      </c>
      <c r="B937" s="47"/>
      <c r="C937" s="47"/>
      <c r="D937" s="47"/>
      <c r="E937" s="47"/>
      <c r="F937" s="47"/>
      <c r="G937" s="30"/>
      <c r="H937" s="30"/>
    </row>
    <row r="938">
      <c r="A938" s="19">
        <v>938.0</v>
      </c>
      <c r="B938" s="47"/>
      <c r="C938" s="47"/>
      <c r="D938" s="47"/>
      <c r="E938" s="47"/>
      <c r="F938" s="47"/>
      <c r="G938" s="30"/>
      <c r="H938" s="30"/>
    </row>
    <row r="939">
      <c r="A939" s="19">
        <v>939.0</v>
      </c>
      <c r="B939" s="47"/>
      <c r="C939" s="47"/>
      <c r="D939" s="47"/>
      <c r="E939" s="47"/>
      <c r="F939" s="47"/>
      <c r="G939" s="30"/>
      <c r="H939" s="30"/>
    </row>
    <row r="940">
      <c r="A940" s="19">
        <v>940.0</v>
      </c>
      <c r="B940" s="47"/>
      <c r="C940" s="47"/>
      <c r="D940" s="47"/>
      <c r="E940" s="47"/>
      <c r="F940" s="47"/>
      <c r="G940" s="30"/>
      <c r="H940" s="30"/>
    </row>
    <row r="941">
      <c r="A941" s="19">
        <v>941.0</v>
      </c>
      <c r="B941" s="47"/>
      <c r="C941" s="47"/>
      <c r="D941" s="47"/>
      <c r="E941" s="47"/>
      <c r="F941" s="47"/>
      <c r="G941" s="30"/>
      <c r="H941" s="30"/>
    </row>
    <row r="942">
      <c r="A942" s="19">
        <v>942.0</v>
      </c>
      <c r="B942" s="47"/>
      <c r="C942" s="47"/>
      <c r="D942" s="47"/>
      <c r="E942" s="47"/>
      <c r="F942" s="47"/>
      <c r="G942" s="30"/>
      <c r="H942" s="30"/>
    </row>
    <row r="943">
      <c r="A943" s="19">
        <v>943.0</v>
      </c>
      <c r="B943" s="47"/>
      <c r="C943" s="47"/>
      <c r="D943" s="47"/>
      <c r="E943" s="47"/>
      <c r="F943" s="47"/>
      <c r="G943" s="30"/>
      <c r="H943" s="30"/>
    </row>
    <row r="944">
      <c r="A944" s="19">
        <v>944.0</v>
      </c>
      <c r="B944" s="47"/>
      <c r="C944" s="47"/>
      <c r="D944" s="47"/>
      <c r="E944" s="47"/>
      <c r="F944" s="47"/>
      <c r="G944" s="30"/>
      <c r="H944" s="30"/>
    </row>
    <row r="945">
      <c r="A945" s="19">
        <v>945.0</v>
      </c>
      <c r="B945" s="47"/>
      <c r="C945" s="47"/>
      <c r="D945" s="47"/>
      <c r="E945" s="47"/>
      <c r="F945" s="47"/>
      <c r="G945" s="30"/>
      <c r="H945" s="30"/>
    </row>
    <row r="946">
      <c r="A946" s="19">
        <v>946.0</v>
      </c>
      <c r="B946" s="47"/>
      <c r="C946" s="47"/>
      <c r="D946" s="47"/>
      <c r="E946" s="47"/>
      <c r="F946" s="47"/>
      <c r="G946" s="30"/>
      <c r="H946" s="30"/>
    </row>
    <row r="947">
      <c r="A947" s="19">
        <v>947.0</v>
      </c>
      <c r="B947" s="47"/>
      <c r="C947" s="47"/>
      <c r="D947" s="47"/>
      <c r="E947" s="47"/>
      <c r="F947" s="47"/>
      <c r="G947" s="30"/>
      <c r="H947" s="30"/>
    </row>
    <row r="948">
      <c r="A948" s="19">
        <v>948.0</v>
      </c>
      <c r="B948" s="47"/>
      <c r="C948" s="47"/>
      <c r="D948" s="47"/>
      <c r="E948" s="47"/>
      <c r="F948" s="47"/>
      <c r="G948" s="30"/>
      <c r="H948" s="30"/>
    </row>
    <row r="949">
      <c r="A949" s="19">
        <v>949.0</v>
      </c>
      <c r="B949" s="47"/>
      <c r="C949" s="47"/>
      <c r="D949" s="47"/>
      <c r="E949" s="47"/>
      <c r="F949" s="47"/>
      <c r="G949" s="30"/>
      <c r="H949" s="30"/>
    </row>
    <row r="950">
      <c r="A950" s="19">
        <v>950.0</v>
      </c>
      <c r="B950" s="47"/>
      <c r="C950" s="47"/>
      <c r="D950" s="47"/>
      <c r="E950" s="47"/>
      <c r="F950" s="47"/>
      <c r="G950" s="30"/>
      <c r="H950" s="30"/>
    </row>
    <row r="951">
      <c r="A951" s="19">
        <v>951.0</v>
      </c>
      <c r="B951" s="47"/>
      <c r="C951" s="47"/>
      <c r="D951" s="47"/>
      <c r="E951" s="47"/>
      <c r="F951" s="47"/>
      <c r="G951" s="30"/>
      <c r="H951" s="30"/>
    </row>
    <row r="952">
      <c r="A952" s="19">
        <v>952.0</v>
      </c>
      <c r="B952" s="47"/>
      <c r="C952" s="47"/>
      <c r="D952" s="47"/>
      <c r="E952" s="47"/>
      <c r="F952" s="47"/>
      <c r="G952" s="30"/>
      <c r="H952" s="30"/>
    </row>
    <row r="953">
      <c r="A953" s="19">
        <v>953.0</v>
      </c>
      <c r="B953" s="47"/>
      <c r="C953" s="47"/>
      <c r="D953" s="47"/>
      <c r="E953" s="47"/>
      <c r="F953" s="47"/>
      <c r="G953" s="30"/>
      <c r="H953" s="30"/>
    </row>
    <row r="954">
      <c r="A954" s="19">
        <v>954.0</v>
      </c>
      <c r="B954" s="47"/>
      <c r="C954" s="47"/>
      <c r="D954" s="47"/>
      <c r="E954" s="47"/>
      <c r="F954" s="47"/>
      <c r="G954" s="30"/>
      <c r="H954" s="30"/>
    </row>
    <row r="955">
      <c r="A955" s="19">
        <v>955.0</v>
      </c>
      <c r="B955" s="47"/>
      <c r="C955" s="47"/>
      <c r="D955" s="47"/>
      <c r="E955" s="47"/>
      <c r="F955" s="47"/>
      <c r="G955" s="30"/>
      <c r="H955" s="30"/>
    </row>
    <row r="956">
      <c r="A956" s="19">
        <v>956.0</v>
      </c>
      <c r="B956" s="47"/>
      <c r="C956" s="47"/>
      <c r="D956" s="47"/>
      <c r="E956" s="47"/>
      <c r="F956" s="47"/>
      <c r="G956" s="30"/>
      <c r="H956" s="30"/>
    </row>
    <row r="957">
      <c r="A957" s="19">
        <v>957.0</v>
      </c>
      <c r="B957" s="47"/>
      <c r="C957" s="47"/>
      <c r="D957" s="47"/>
      <c r="E957" s="47"/>
      <c r="F957" s="47"/>
      <c r="G957" s="30"/>
      <c r="H957" s="30"/>
    </row>
    <row r="958">
      <c r="A958" s="19">
        <v>958.0</v>
      </c>
      <c r="B958" s="47"/>
      <c r="C958" s="47"/>
      <c r="D958" s="47"/>
      <c r="E958" s="47"/>
      <c r="F958" s="47"/>
      <c r="G958" s="30"/>
      <c r="H958" s="30"/>
    </row>
    <row r="959">
      <c r="A959" s="19">
        <v>959.0</v>
      </c>
      <c r="B959" s="47"/>
      <c r="C959" s="47"/>
      <c r="D959" s="47"/>
      <c r="E959" s="47"/>
      <c r="F959" s="47"/>
      <c r="G959" s="30"/>
      <c r="H959" s="30"/>
    </row>
    <row r="960">
      <c r="A960" s="19">
        <v>960.0</v>
      </c>
      <c r="B960" s="47"/>
      <c r="C960" s="47"/>
      <c r="D960" s="47"/>
      <c r="E960" s="47"/>
      <c r="F960" s="47"/>
      <c r="G960" s="30"/>
      <c r="H960" s="30"/>
    </row>
    <row r="961">
      <c r="A961" s="19">
        <v>961.0</v>
      </c>
      <c r="B961" s="47"/>
      <c r="C961" s="47"/>
      <c r="D961" s="47"/>
      <c r="E961" s="47"/>
      <c r="F961" s="47"/>
      <c r="G961" s="30"/>
      <c r="H961" s="30"/>
    </row>
    <row r="962">
      <c r="A962" s="19">
        <v>962.0</v>
      </c>
      <c r="B962" s="47"/>
      <c r="C962" s="47"/>
      <c r="D962" s="47"/>
      <c r="E962" s="47"/>
      <c r="F962" s="47"/>
      <c r="G962" s="30"/>
      <c r="H962" s="30"/>
    </row>
    <row r="963">
      <c r="A963" s="19">
        <v>963.0</v>
      </c>
      <c r="B963" s="47"/>
      <c r="C963" s="47"/>
      <c r="D963" s="47"/>
      <c r="E963" s="47"/>
      <c r="F963" s="47"/>
      <c r="G963" s="30"/>
      <c r="H963" s="30"/>
    </row>
    <row r="964">
      <c r="A964" s="19">
        <v>964.0</v>
      </c>
      <c r="B964" s="47"/>
      <c r="C964" s="47"/>
      <c r="D964" s="47"/>
      <c r="E964" s="47"/>
      <c r="F964" s="47"/>
      <c r="G964" s="30"/>
      <c r="H964" s="30"/>
    </row>
    <row r="965">
      <c r="A965" s="19">
        <v>965.0</v>
      </c>
      <c r="B965" s="47"/>
      <c r="C965" s="47"/>
      <c r="D965" s="47"/>
      <c r="E965" s="47"/>
      <c r="F965" s="47"/>
      <c r="G965" s="30"/>
      <c r="H965" s="30"/>
    </row>
    <row r="966">
      <c r="A966" s="19">
        <v>966.0</v>
      </c>
      <c r="B966" s="47"/>
      <c r="C966" s="47"/>
      <c r="D966" s="47"/>
      <c r="E966" s="47"/>
      <c r="F966" s="47"/>
      <c r="G966" s="30"/>
      <c r="H966" s="30"/>
    </row>
    <row r="967">
      <c r="A967" s="19">
        <v>967.0</v>
      </c>
      <c r="B967" s="47"/>
      <c r="C967" s="47"/>
      <c r="D967" s="47"/>
      <c r="E967" s="47"/>
      <c r="F967" s="47"/>
      <c r="G967" s="30"/>
      <c r="H967" s="30"/>
    </row>
    <row r="968">
      <c r="A968" s="19">
        <v>968.0</v>
      </c>
      <c r="B968" s="47"/>
      <c r="C968" s="47"/>
      <c r="D968" s="47"/>
      <c r="E968" s="47"/>
      <c r="F968" s="47"/>
      <c r="G968" s="30"/>
      <c r="H968" s="30"/>
    </row>
    <row r="969">
      <c r="A969" s="19">
        <v>969.0</v>
      </c>
      <c r="B969" s="47"/>
      <c r="C969" s="47"/>
      <c r="D969" s="47"/>
      <c r="E969" s="47"/>
      <c r="F969" s="47"/>
      <c r="G969" s="30"/>
      <c r="H969" s="30"/>
    </row>
    <row r="970">
      <c r="A970" s="19">
        <v>970.0</v>
      </c>
      <c r="B970" s="47"/>
      <c r="C970" s="47"/>
      <c r="D970" s="47"/>
      <c r="E970" s="47"/>
      <c r="F970" s="47"/>
      <c r="G970" s="30"/>
      <c r="H970" s="30"/>
    </row>
    <row r="971">
      <c r="A971" s="19">
        <v>971.0</v>
      </c>
      <c r="B971" s="47"/>
      <c r="C971" s="47"/>
      <c r="D971" s="47"/>
      <c r="E971" s="47"/>
      <c r="F971" s="47"/>
      <c r="G971" s="30"/>
      <c r="H971" s="30"/>
    </row>
    <row r="972">
      <c r="A972" s="19">
        <v>972.0</v>
      </c>
      <c r="B972" s="47"/>
      <c r="C972" s="47"/>
      <c r="D972" s="47"/>
      <c r="E972" s="47"/>
      <c r="F972" s="47"/>
      <c r="G972" s="30"/>
      <c r="H972" s="30"/>
    </row>
    <row r="973">
      <c r="A973" s="19">
        <v>973.0</v>
      </c>
      <c r="B973" s="47"/>
      <c r="C973" s="47"/>
      <c r="D973" s="47"/>
      <c r="E973" s="47"/>
      <c r="F973" s="47"/>
      <c r="G973" s="30"/>
      <c r="H973" s="30"/>
    </row>
    <row r="974">
      <c r="A974" s="19">
        <v>974.0</v>
      </c>
      <c r="B974" s="47"/>
      <c r="C974" s="47"/>
      <c r="D974" s="47"/>
      <c r="E974" s="47"/>
      <c r="F974" s="47"/>
      <c r="G974" s="30"/>
      <c r="H974" s="30"/>
    </row>
    <row r="975">
      <c r="A975" s="19">
        <v>975.0</v>
      </c>
      <c r="B975" s="47"/>
      <c r="C975" s="47"/>
      <c r="D975" s="47"/>
      <c r="E975" s="47"/>
      <c r="F975" s="47"/>
      <c r="G975" s="30"/>
      <c r="H975" s="30"/>
    </row>
    <row r="976">
      <c r="A976" s="19">
        <v>976.0</v>
      </c>
      <c r="B976" s="47"/>
      <c r="C976" s="47"/>
      <c r="D976" s="47"/>
      <c r="E976" s="47"/>
      <c r="F976" s="47"/>
      <c r="G976" s="30"/>
      <c r="H976" s="30"/>
    </row>
    <row r="977">
      <c r="A977" s="19">
        <v>977.0</v>
      </c>
      <c r="B977" s="47"/>
      <c r="C977" s="47"/>
      <c r="D977" s="47"/>
      <c r="E977" s="47"/>
      <c r="F977" s="47"/>
      <c r="G977" s="30"/>
      <c r="H977" s="30"/>
    </row>
    <row r="978">
      <c r="A978" s="19">
        <v>978.0</v>
      </c>
      <c r="B978" s="47"/>
      <c r="C978" s="47"/>
      <c r="D978" s="47"/>
      <c r="E978" s="47"/>
      <c r="F978" s="47"/>
      <c r="G978" s="30"/>
      <c r="H978" s="30"/>
    </row>
    <row r="979">
      <c r="A979" s="19">
        <v>979.0</v>
      </c>
      <c r="B979" s="47"/>
      <c r="C979" s="47"/>
      <c r="D979" s="47"/>
      <c r="E979" s="47"/>
      <c r="F979" s="47"/>
      <c r="G979" s="30"/>
      <c r="H979" s="30"/>
    </row>
    <row r="980">
      <c r="A980" s="19">
        <v>980.0</v>
      </c>
      <c r="B980" s="47"/>
      <c r="C980" s="47"/>
      <c r="D980" s="47"/>
      <c r="E980" s="47"/>
      <c r="F980" s="47"/>
      <c r="G980" s="30"/>
      <c r="H980" s="30"/>
    </row>
    <row r="981">
      <c r="A981" s="19">
        <v>981.0</v>
      </c>
      <c r="B981" s="47"/>
      <c r="C981" s="47"/>
      <c r="D981" s="47"/>
      <c r="E981" s="47"/>
      <c r="F981" s="47"/>
      <c r="G981" s="30"/>
      <c r="H981" s="30"/>
    </row>
    <row r="982">
      <c r="A982" s="19">
        <v>982.0</v>
      </c>
      <c r="B982" s="47"/>
      <c r="C982" s="47"/>
      <c r="D982" s="47"/>
      <c r="E982" s="47"/>
      <c r="F982" s="47"/>
      <c r="G982" s="30"/>
      <c r="H982" s="30"/>
    </row>
    <row r="983">
      <c r="A983" s="19">
        <v>983.0</v>
      </c>
      <c r="B983" s="47"/>
      <c r="C983" s="47"/>
      <c r="D983" s="47"/>
      <c r="E983" s="47"/>
      <c r="F983" s="47"/>
      <c r="G983" s="30"/>
      <c r="H983" s="30"/>
    </row>
    <row r="984">
      <c r="A984" s="19">
        <v>984.0</v>
      </c>
      <c r="B984" s="47"/>
      <c r="C984" s="47"/>
      <c r="D984" s="47"/>
      <c r="E984" s="47"/>
      <c r="F984" s="47"/>
      <c r="G984" s="30"/>
      <c r="H984" s="30"/>
    </row>
    <row r="985">
      <c r="A985" s="19">
        <v>985.0</v>
      </c>
      <c r="B985" s="47"/>
      <c r="C985" s="47"/>
      <c r="D985" s="47"/>
      <c r="E985" s="47"/>
      <c r="F985" s="47"/>
      <c r="G985" s="30"/>
      <c r="H985" s="30"/>
    </row>
    <row r="986">
      <c r="A986" s="19">
        <v>986.0</v>
      </c>
      <c r="B986" s="47"/>
      <c r="C986" s="47"/>
      <c r="D986" s="47"/>
      <c r="E986" s="47"/>
      <c r="F986" s="47"/>
      <c r="G986" s="30"/>
      <c r="H986" s="30"/>
    </row>
    <row r="987">
      <c r="A987" s="19">
        <v>987.0</v>
      </c>
      <c r="B987" s="47"/>
      <c r="C987" s="47"/>
      <c r="D987" s="47"/>
      <c r="E987" s="47"/>
      <c r="F987" s="47"/>
      <c r="G987" s="30"/>
      <c r="H987" s="30"/>
    </row>
    <row r="988">
      <c r="A988" s="19">
        <v>988.0</v>
      </c>
      <c r="B988" s="47"/>
      <c r="C988" s="47"/>
      <c r="D988" s="47"/>
      <c r="E988" s="47"/>
      <c r="F988" s="47"/>
      <c r="G988" s="30"/>
      <c r="H988" s="30"/>
    </row>
    <row r="989">
      <c r="A989" s="19">
        <v>989.0</v>
      </c>
      <c r="B989" s="47"/>
      <c r="C989" s="47"/>
      <c r="D989" s="47"/>
      <c r="E989" s="47"/>
      <c r="F989" s="47"/>
      <c r="G989" s="30"/>
      <c r="H989" s="30"/>
    </row>
  </sheetData>
  <dataValidations>
    <dataValidation type="list" allowBlank="1" showErrorMessage="1" sqref="G2:G293">
      <formula1>" 06,00 s/d 07,30 WIB., 07,00 s/d 07,30 WIB.,maksimal  06 :00 WIB"</formula1>
    </dataValidation>
  </dataValidations>
  <hyperlinks>
    <hyperlink display="Dispensasi" location="Dispensasi!A1" ref="H2"/>
    <hyperlink display="https://docs.google.com/spreadsheets/d/1GIYP3gKlwKD1FjOm9J1bBxcXXS3yi7xxxQRVqMkhHXI/edit?gid=677168732#gid=677168732" location="Dispensasi!A1" ref="H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2.38"/>
    <col customWidth="1" min="3" max="3" width="2.5"/>
    <col customWidth="1" min="5" max="5" width="15.38"/>
    <col customWidth="1" min="6" max="6" width="9.88"/>
    <col customWidth="1" min="7" max="7" width="4.75"/>
    <col customWidth="1" min="8" max="8" width="22.63"/>
    <col customWidth="1" min="10" max="10" width="19.5"/>
    <col customWidth="1" min="12" max="12" width="17.75"/>
  </cols>
  <sheetData>
    <row r="1">
      <c r="A1" s="3" t="s">
        <v>2</v>
      </c>
      <c r="B1" s="5"/>
      <c r="C1" s="7" t="s">
        <v>8</v>
      </c>
      <c r="K1" s="9"/>
      <c r="L1" s="14"/>
      <c r="M1" s="14"/>
      <c r="N1" s="14"/>
      <c r="O1" s="14"/>
      <c r="P1" s="14"/>
      <c r="Q1" s="14"/>
      <c r="R1" s="14"/>
      <c r="S1" s="20"/>
      <c r="T1" s="14"/>
      <c r="U1" s="14"/>
      <c r="V1" s="14"/>
      <c r="W1" s="14"/>
      <c r="X1" s="14"/>
      <c r="Y1" s="14"/>
      <c r="Z1" s="14"/>
      <c r="AA1" s="14"/>
    </row>
    <row r="2">
      <c r="A2" s="9"/>
      <c r="B2" s="5"/>
      <c r="C2" s="7" t="s">
        <v>28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/>
      <c r="B3" s="5"/>
      <c r="C3" s="23" t="s">
        <v>30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/>
      <c r="B4" s="25"/>
      <c r="C4" s="26" t="s">
        <v>44</v>
      </c>
      <c r="K4" s="9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9"/>
      <c r="B5" s="28"/>
      <c r="C5" s="31" t="s">
        <v>48</v>
      </c>
      <c r="K5" s="9"/>
      <c r="L5" s="14"/>
      <c r="M5" s="14"/>
      <c r="N5" s="14"/>
      <c r="O5" s="14"/>
      <c r="P5" s="32" t="s">
        <v>2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33"/>
      <c r="B6" s="9"/>
      <c r="C6" s="5" t="s">
        <v>54</v>
      </c>
      <c r="K6" s="3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34"/>
      <c r="B7" s="35"/>
      <c r="C7" s="36"/>
      <c r="D7" s="36"/>
      <c r="E7" s="36"/>
      <c r="F7" s="36"/>
      <c r="G7" s="36"/>
      <c r="H7" s="36"/>
      <c r="I7" s="36" t="s">
        <v>55</v>
      </c>
      <c r="J7" s="37"/>
      <c r="K7" s="33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41.25" customHeight="1">
      <c r="A8" s="38" t="s">
        <v>56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39"/>
      <c r="B9" s="40"/>
      <c r="C9" s="41"/>
      <c r="D9" s="41"/>
      <c r="E9" s="42" t="s">
        <v>57</v>
      </c>
      <c r="G9" s="49">
        <f>VLOOKUP('2026'!H1, '2026'!A2:F999, 2)</f>
        <v>434</v>
      </c>
      <c r="I9" s="40"/>
      <c r="J9" s="40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39" t="s">
        <v>77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4" t="s">
        <v>81</v>
      </c>
      <c r="C12" s="55" t="s">
        <v>92</v>
      </c>
      <c r="D12" s="58" t="str">
        <f>VLOOKUP('2026'!H1, '2026'!A2:H1000,3)</f>
        <v>WKRI Ranting 4</v>
      </c>
      <c r="K12" s="1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4" t="s">
        <v>5</v>
      </c>
      <c r="C13" s="55" t="s">
        <v>92</v>
      </c>
      <c r="D13" s="61" t="str">
        <f>VLOOKUP('2026'!H1, '2026'!A2:H1000,5)</f>
        <v>8 aguistus 2026</v>
      </c>
      <c r="J13" s="62"/>
      <c r="K13" s="14"/>
      <c r="L13" s="9"/>
      <c r="M13" s="9"/>
      <c r="N13" s="9"/>
      <c r="O13" s="9"/>
      <c r="P13" s="9"/>
      <c r="Q13" s="9"/>
      <c r="R13" s="33"/>
      <c r="S13" s="9"/>
      <c r="T13" s="9"/>
      <c r="U13" s="9"/>
      <c r="V13" s="9"/>
      <c r="W13" s="9"/>
      <c r="X13" s="9"/>
      <c r="Y13" s="9"/>
      <c r="Z13" s="9"/>
      <c r="AA13" s="9"/>
    </row>
    <row r="14">
      <c r="A14" s="54" t="s">
        <v>6</v>
      </c>
      <c r="C14" s="55" t="s">
        <v>92</v>
      </c>
      <c r="D14" s="61" t="str">
        <f>VLOOKUP('2026'!H1, '2026'!A2:H1000,6)</f>
        <v>loading barang LAP TSIK 1</v>
      </c>
      <c r="K14" s="14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4" t="s">
        <v>136</v>
      </c>
      <c r="C15" s="55" t="s">
        <v>92</v>
      </c>
      <c r="D15" s="64" t="str">
        <f>VLOOKUP('2026'!H1, '2026'!A2:H1000,4)</f>
        <v>B 266 ADV</v>
      </c>
      <c r="K15" s="14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40"/>
      <c r="B17" s="66" t="s">
        <v>169</v>
      </c>
      <c r="C17" s="40"/>
      <c r="D17" s="40"/>
      <c r="E17" s="40"/>
      <c r="F17" s="40"/>
      <c r="G17" s="40"/>
      <c r="H17" s="40"/>
      <c r="I17" s="40"/>
      <c r="J17" s="40"/>
      <c r="K17" s="9"/>
      <c r="L17" s="33" t="s">
        <v>175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67">
        <v>1.0</v>
      </c>
      <c r="B18" s="68" t="s">
        <v>185</v>
      </c>
      <c r="K18" s="1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5">
        <v>2.0</v>
      </c>
      <c r="B19" s="54" t="s">
        <v>192</v>
      </c>
      <c r="K19" s="1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5">
        <v>3.0</v>
      </c>
      <c r="B20" s="54" t="s">
        <v>199</v>
      </c>
      <c r="C20" s="54"/>
      <c r="D20" s="54"/>
      <c r="E20" s="54"/>
      <c r="F20" s="54" t="str">
        <f>VLOOKUP('2026'!H1, '2026'!$A:$G, 7)</f>
        <v>07,00 s/d 08,00 WIB.</v>
      </c>
      <c r="I20" s="54"/>
      <c r="J20" s="54"/>
      <c r="K20" s="1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41" t="s">
        <v>222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40"/>
      <c r="B24" s="40"/>
      <c r="C24" s="40"/>
      <c r="D24" s="40"/>
      <c r="E24" s="40"/>
      <c r="F24" s="42"/>
      <c r="G24" s="40"/>
      <c r="H24" s="73"/>
      <c r="I24" s="73"/>
      <c r="J24" s="73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40"/>
      <c r="B25" s="40"/>
      <c r="C25" s="40"/>
      <c r="D25" s="40"/>
      <c r="E25" s="40"/>
      <c r="F25" s="42"/>
      <c r="G25" s="40"/>
      <c r="H25" s="73"/>
      <c r="I25" s="73"/>
      <c r="J25" s="73"/>
      <c r="K25" s="9"/>
      <c r="L25" s="9"/>
      <c r="M25" s="9"/>
      <c r="N25" s="9"/>
      <c r="O25" s="9"/>
      <c r="P25" s="9"/>
      <c r="Q25" s="74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40"/>
      <c r="B26" s="40"/>
      <c r="C26" s="40"/>
      <c r="D26" s="40"/>
      <c r="E26" s="40"/>
      <c r="F26" s="42"/>
      <c r="G26" s="40"/>
      <c r="H26" s="73" t="str">
        <f>"Jakarta, "&amp; TEXT(TODAY(),"dddd dd mmmm yyyy" )</f>
        <v>Jakarta, Kamis 06 Agustus 2026</v>
      </c>
      <c r="K26" s="9"/>
      <c r="L26" s="9"/>
      <c r="M26" s="9"/>
      <c r="N26" s="9"/>
      <c r="O26" s="9"/>
      <c r="P26" s="9"/>
      <c r="Q26" s="74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9"/>
      <c r="L27" s="9"/>
      <c r="M27" s="9"/>
      <c r="N27" s="9"/>
      <c r="O27" s="9"/>
      <c r="P27" s="9"/>
      <c r="Q27" s="74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40"/>
      <c r="B28" s="40"/>
      <c r="C28" s="40"/>
      <c r="D28" s="40"/>
      <c r="E28" s="40"/>
      <c r="F28" s="40"/>
      <c r="G28" s="40"/>
      <c r="H28" s="41" t="s">
        <v>266</v>
      </c>
      <c r="K28" s="9"/>
      <c r="L28" s="9"/>
      <c r="M28" s="9"/>
      <c r="N28" s="9"/>
      <c r="O28" s="9"/>
      <c r="P28" s="9"/>
      <c r="Q28" s="74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40"/>
      <c r="B29" s="40"/>
      <c r="C29" s="40"/>
      <c r="D29" s="40"/>
      <c r="E29" s="40"/>
      <c r="F29" s="40"/>
      <c r="G29" s="40"/>
      <c r="H29" s="41" t="s">
        <v>268</v>
      </c>
      <c r="K29" s="9"/>
      <c r="L29" s="9"/>
      <c r="M29" s="9"/>
      <c r="N29" s="9"/>
      <c r="O29" s="9"/>
      <c r="P29" s="9"/>
      <c r="Q29" s="74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40"/>
      <c r="B30" s="40"/>
      <c r="C30" s="40"/>
      <c r="D30" s="40"/>
      <c r="E30" s="40"/>
      <c r="F30" s="40"/>
      <c r="G30" s="40"/>
      <c r="H30" s="41" t="s">
        <v>273</v>
      </c>
      <c r="K30" s="9"/>
      <c r="L30" s="9"/>
      <c r="M30" s="9"/>
      <c r="N30" s="9"/>
      <c r="O30" s="9"/>
      <c r="P30" s="9"/>
      <c r="Q30" s="74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40"/>
      <c r="B31" s="40"/>
      <c r="C31" s="40"/>
      <c r="D31" s="40"/>
      <c r="E31" s="40"/>
      <c r="F31" s="40"/>
      <c r="G31" s="40"/>
      <c r="H31" s="41" t="s">
        <v>277</v>
      </c>
      <c r="K31" s="9"/>
      <c r="L31" s="9"/>
      <c r="M31" s="9"/>
      <c r="N31" s="9"/>
      <c r="O31" s="9"/>
      <c r="P31" s="9"/>
      <c r="Q31" s="74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</sheetData>
  <mergeCells count="28">
    <mergeCell ref="C1:J1"/>
    <mergeCell ref="C2:J2"/>
    <mergeCell ref="C3:J3"/>
    <mergeCell ref="C4:J4"/>
    <mergeCell ref="C5:J5"/>
    <mergeCell ref="C6:J6"/>
    <mergeCell ref="I7:J7"/>
    <mergeCell ref="A13:B13"/>
    <mergeCell ref="A14:B14"/>
    <mergeCell ref="A15:B15"/>
    <mergeCell ref="A8:J8"/>
    <mergeCell ref="E9:F9"/>
    <mergeCell ref="G9:H9"/>
    <mergeCell ref="A11:J11"/>
    <mergeCell ref="A12:B12"/>
    <mergeCell ref="D12:J12"/>
    <mergeCell ref="D13:I13"/>
    <mergeCell ref="H28:J28"/>
    <mergeCell ref="H29:J29"/>
    <mergeCell ref="H30:J30"/>
    <mergeCell ref="H31:J31"/>
    <mergeCell ref="D14:J14"/>
    <mergeCell ref="D15:J15"/>
    <mergeCell ref="B18:J18"/>
    <mergeCell ref="B19:J19"/>
    <mergeCell ref="F20:H20"/>
    <mergeCell ref="A22:J23"/>
    <mergeCell ref="H26:J26"/>
  </mergeCells>
  <hyperlinks>
    <hyperlink r:id="rId1" ref="C5"/>
  </hyperlinks>
  <printOptions gridLines="1" horizontalCentered="1"/>
  <pageMargins bottom="0.75" footer="0.0" header="0.0" left="0.7" right="0.7" top="0.75"/>
  <pageSetup paperSize="9" scale="65"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38"/>
    <col customWidth="1" min="3" max="3" width="52.5"/>
    <col customWidth="1" min="4" max="4" width="68.75"/>
    <col customWidth="1" min="5" max="5" width="56.88"/>
    <col customWidth="1" min="6" max="6" width="30.13"/>
    <col customWidth="1" min="7" max="7" width="24.0"/>
    <col customWidth="1" min="8" max="8" width="16.25"/>
  </cols>
  <sheetData>
    <row r="1" ht="48.0" customHeight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4">
        <v>434.0</v>
      </c>
    </row>
    <row r="2">
      <c r="A2" s="6">
        <v>1.0</v>
      </c>
      <c r="B2" s="8">
        <v>1.0</v>
      </c>
      <c r="C2" s="8" t="s">
        <v>10</v>
      </c>
      <c r="D2" s="8" t="s">
        <v>11</v>
      </c>
      <c r="E2" s="10" t="s">
        <v>12</v>
      </c>
      <c r="F2" s="8" t="s">
        <v>13</v>
      </c>
      <c r="G2" s="12" t="s">
        <v>14</v>
      </c>
      <c r="H2" s="18" t="s">
        <v>15</v>
      </c>
    </row>
    <row r="3">
      <c r="A3" s="6">
        <v>2.0</v>
      </c>
      <c r="B3" s="8">
        <v>2.0</v>
      </c>
      <c r="C3" s="8" t="s">
        <v>24</v>
      </c>
      <c r="D3" s="8" t="s">
        <v>25</v>
      </c>
      <c r="E3" s="21">
        <v>46039.0</v>
      </c>
      <c r="F3" s="8" t="s">
        <v>32</v>
      </c>
      <c r="G3" s="12" t="s">
        <v>33</v>
      </c>
      <c r="H3" s="12"/>
    </row>
    <row r="4">
      <c r="A4" s="6">
        <v>3.0</v>
      </c>
      <c r="B4" s="8">
        <v>3.0</v>
      </c>
      <c r="C4" s="8" t="s">
        <v>34</v>
      </c>
      <c r="D4" s="8" t="s">
        <v>35</v>
      </c>
      <c r="E4" s="21">
        <v>46032.0</v>
      </c>
      <c r="F4" s="8" t="s">
        <v>36</v>
      </c>
      <c r="G4" s="12" t="s">
        <v>33</v>
      </c>
      <c r="H4" s="27" t="s">
        <v>39</v>
      </c>
    </row>
    <row r="5">
      <c r="A5" s="6">
        <v>4.0</v>
      </c>
      <c r="B5" s="8">
        <v>4.0</v>
      </c>
      <c r="C5" s="8" t="s">
        <v>49</v>
      </c>
      <c r="D5" s="8" t="s">
        <v>50</v>
      </c>
      <c r="E5" s="10" t="s">
        <v>52</v>
      </c>
      <c r="F5" s="8" t="s">
        <v>13</v>
      </c>
      <c r="G5" s="12" t="s">
        <v>14</v>
      </c>
      <c r="H5" s="30"/>
    </row>
    <row r="6">
      <c r="A6" s="6">
        <v>5.0</v>
      </c>
      <c r="B6" s="8">
        <v>5.0</v>
      </c>
      <c r="C6" s="48" t="s">
        <v>53</v>
      </c>
      <c r="D6" s="8" t="s">
        <v>61</v>
      </c>
      <c r="E6" s="10" t="s">
        <v>62</v>
      </c>
      <c r="F6" s="8" t="s">
        <v>13</v>
      </c>
      <c r="G6" s="12" t="s">
        <v>14</v>
      </c>
      <c r="H6" s="30"/>
    </row>
    <row r="7">
      <c r="A7" s="6">
        <v>6.0</v>
      </c>
      <c r="B7" s="8">
        <v>6.0</v>
      </c>
      <c r="C7" s="48" t="s">
        <v>65</v>
      </c>
      <c r="D7" s="8" t="s">
        <v>66</v>
      </c>
      <c r="E7" s="51" t="s">
        <v>62</v>
      </c>
      <c r="F7" s="8" t="s">
        <v>13</v>
      </c>
      <c r="G7" s="12" t="s">
        <v>14</v>
      </c>
      <c r="H7" s="30"/>
    </row>
    <row r="8">
      <c r="A8" s="6">
        <v>7.0</v>
      </c>
      <c r="B8" s="8">
        <v>7.0</v>
      </c>
      <c r="C8" s="8" t="s">
        <v>75</v>
      </c>
      <c r="D8" s="8" t="s">
        <v>78</v>
      </c>
      <c r="E8" s="52">
        <v>46033.0</v>
      </c>
      <c r="F8" s="8" t="s">
        <v>80</v>
      </c>
      <c r="G8" s="12" t="s">
        <v>33</v>
      </c>
      <c r="H8" s="30"/>
    </row>
    <row r="9">
      <c r="A9" s="6">
        <v>8.0</v>
      </c>
      <c r="B9" s="8">
        <v>8.0</v>
      </c>
      <c r="C9" s="8" t="s">
        <v>82</v>
      </c>
      <c r="D9" s="8" t="s">
        <v>83</v>
      </c>
      <c r="E9" s="50">
        <v>46032.0</v>
      </c>
      <c r="F9" s="8" t="s">
        <v>85</v>
      </c>
      <c r="G9" s="12" t="s">
        <v>31</v>
      </c>
      <c r="H9" s="30"/>
    </row>
    <row r="10">
      <c r="A10" s="6">
        <v>9.0</v>
      </c>
      <c r="B10" s="8">
        <v>9.0</v>
      </c>
      <c r="C10" s="8" t="s">
        <v>88</v>
      </c>
      <c r="D10" s="8" t="s">
        <v>89</v>
      </c>
      <c r="E10" s="50">
        <v>46040.0</v>
      </c>
      <c r="F10" s="8" t="s">
        <v>96</v>
      </c>
      <c r="G10" s="12" t="s">
        <v>14</v>
      </c>
      <c r="H10" s="30"/>
    </row>
    <row r="11">
      <c r="A11" s="6">
        <v>10.0</v>
      </c>
      <c r="B11" s="8">
        <v>10.0</v>
      </c>
      <c r="C11" s="57" t="s">
        <v>97</v>
      </c>
      <c r="D11" s="8" t="s">
        <v>100</v>
      </c>
      <c r="E11" s="8" t="s">
        <v>101</v>
      </c>
      <c r="F11" s="8" t="s">
        <v>96</v>
      </c>
      <c r="G11" s="12" t="s">
        <v>14</v>
      </c>
      <c r="H11" s="30"/>
    </row>
    <row r="12">
      <c r="A12" s="6">
        <v>11.0</v>
      </c>
      <c r="B12" s="8">
        <v>11.0</v>
      </c>
      <c r="C12" s="8" t="s">
        <v>102</v>
      </c>
      <c r="D12" s="8" t="s">
        <v>103</v>
      </c>
      <c r="E12" s="8" t="s">
        <v>104</v>
      </c>
      <c r="F12" s="8" t="s">
        <v>105</v>
      </c>
      <c r="G12" s="12" t="s">
        <v>33</v>
      </c>
      <c r="H12" s="30"/>
    </row>
    <row r="13">
      <c r="A13" s="6">
        <v>12.0</v>
      </c>
      <c r="B13" s="8">
        <v>12.0</v>
      </c>
      <c r="C13" s="8" t="s">
        <v>106</v>
      </c>
      <c r="D13" s="8" t="s">
        <v>107</v>
      </c>
      <c r="E13" s="10" t="s">
        <v>108</v>
      </c>
      <c r="F13" s="8" t="s">
        <v>13</v>
      </c>
      <c r="G13" s="12" t="s">
        <v>14</v>
      </c>
      <c r="H13" s="56"/>
    </row>
    <row r="14">
      <c r="A14" s="6">
        <v>13.0</v>
      </c>
      <c r="B14" s="8">
        <v>13.0</v>
      </c>
      <c r="C14" s="8" t="s">
        <v>109</v>
      </c>
      <c r="D14" s="8" t="s">
        <v>110</v>
      </c>
      <c r="E14" s="59">
        <v>46038.0</v>
      </c>
      <c r="F14" s="8" t="s">
        <v>112</v>
      </c>
      <c r="G14" s="12" t="s">
        <v>31</v>
      </c>
      <c r="H14" s="30"/>
    </row>
    <row r="15">
      <c r="A15" s="6">
        <v>14.0</v>
      </c>
      <c r="B15" s="8">
        <v>14.0</v>
      </c>
      <c r="C15" s="60" t="s">
        <v>113</v>
      </c>
      <c r="D15" s="8" t="s">
        <v>115</v>
      </c>
      <c r="E15" s="8" t="s">
        <v>116</v>
      </c>
      <c r="F15" s="8" t="s">
        <v>117</v>
      </c>
      <c r="G15" s="12" t="s">
        <v>14</v>
      </c>
      <c r="H15" s="30"/>
    </row>
    <row r="16">
      <c r="A16" s="6">
        <v>15.0</v>
      </c>
      <c r="B16" s="8">
        <v>15.0</v>
      </c>
      <c r="C16" s="8" t="s">
        <v>118</v>
      </c>
      <c r="D16" s="8" t="s">
        <v>120</v>
      </c>
      <c r="E16" s="59">
        <v>46040.0</v>
      </c>
      <c r="F16" s="8" t="s">
        <v>121</v>
      </c>
      <c r="G16" s="12" t="s">
        <v>31</v>
      </c>
      <c r="H16" s="30"/>
    </row>
    <row r="17">
      <c r="A17" s="6">
        <v>16.0</v>
      </c>
      <c r="B17" s="8">
        <v>16.0</v>
      </c>
      <c r="C17" s="8" t="s">
        <v>123</v>
      </c>
      <c r="D17" s="8" t="s">
        <v>124</v>
      </c>
      <c r="E17" s="59">
        <v>46043.0</v>
      </c>
      <c r="F17" s="8" t="s">
        <v>87</v>
      </c>
      <c r="G17" s="12" t="s">
        <v>126</v>
      </c>
      <c r="H17" s="30"/>
    </row>
    <row r="18">
      <c r="A18" s="6">
        <v>17.0</v>
      </c>
      <c r="B18" s="8">
        <v>17.0</v>
      </c>
      <c r="C18" s="8" t="s">
        <v>123</v>
      </c>
      <c r="D18" s="8" t="s">
        <v>129</v>
      </c>
      <c r="E18" s="59">
        <v>46044.0</v>
      </c>
      <c r="F18" s="8" t="s">
        <v>130</v>
      </c>
      <c r="G18" s="12" t="s">
        <v>31</v>
      </c>
      <c r="H18" s="30"/>
    </row>
    <row r="19">
      <c r="A19" s="6">
        <v>18.0</v>
      </c>
      <c r="B19" s="8">
        <v>18.0</v>
      </c>
      <c r="C19" s="8" t="s">
        <v>133</v>
      </c>
      <c r="D19" s="8" t="s">
        <v>134</v>
      </c>
      <c r="E19" s="59">
        <v>46047.0</v>
      </c>
      <c r="F19" s="8" t="s">
        <v>105</v>
      </c>
      <c r="G19" s="12" t="s">
        <v>33</v>
      </c>
      <c r="H19" s="30"/>
    </row>
    <row r="20">
      <c r="A20" s="6">
        <v>19.0</v>
      </c>
      <c r="B20" s="8">
        <v>19.0</v>
      </c>
      <c r="C20" s="8" t="s">
        <v>138</v>
      </c>
      <c r="D20" s="8" t="s">
        <v>139</v>
      </c>
      <c r="E20" s="63">
        <v>46046.0</v>
      </c>
      <c r="F20" s="8" t="s">
        <v>144</v>
      </c>
      <c r="G20" s="12" t="s">
        <v>33</v>
      </c>
      <c r="H20" s="30"/>
    </row>
    <row r="21" ht="16.5" customHeight="1">
      <c r="A21" s="6">
        <v>20.0</v>
      </c>
      <c r="B21" s="8">
        <v>20.0</v>
      </c>
      <c r="C21" s="8" t="s">
        <v>147</v>
      </c>
      <c r="D21" s="8" t="s">
        <v>148</v>
      </c>
      <c r="E21" s="8" t="s">
        <v>150</v>
      </c>
      <c r="F21" s="8" t="s">
        <v>151</v>
      </c>
      <c r="G21" s="12" t="s">
        <v>33</v>
      </c>
      <c r="H21" s="30"/>
    </row>
    <row r="22">
      <c r="A22" s="6">
        <v>21.0</v>
      </c>
      <c r="B22" s="8">
        <v>21.0</v>
      </c>
      <c r="C22" s="8" t="s">
        <v>153</v>
      </c>
      <c r="D22" s="8" t="s">
        <v>154</v>
      </c>
      <c r="E22" s="65">
        <v>46046.0</v>
      </c>
      <c r="F22" s="8" t="s">
        <v>157</v>
      </c>
      <c r="G22" s="12" t="s">
        <v>33</v>
      </c>
      <c r="H22" s="30"/>
    </row>
    <row r="23">
      <c r="A23" s="6">
        <v>22.0</v>
      </c>
      <c r="B23" s="8">
        <v>22.0</v>
      </c>
      <c r="C23" s="60" t="s">
        <v>161</v>
      </c>
      <c r="D23" s="8" t="s">
        <v>162</v>
      </c>
      <c r="E23" s="59">
        <v>46047.0</v>
      </c>
      <c r="F23" s="8" t="s">
        <v>163</v>
      </c>
      <c r="G23" s="12" t="s">
        <v>33</v>
      </c>
      <c r="H23" s="30"/>
    </row>
    <row r="24">
      <c r="A24" s="6">
        <v>23.0</v>
      </c>
      <c r="B24" s="8">
        <v>23.0</v>
      </c>
      <c r="C24" s="8" t="s">
        <v>166</v>
      </c>
      <c r="D24" s="8" t="s">
        <v>168</v>
      </c>
      <c r="E24" s="59">
        <v>46047.0</v>
      </c>
      <c r="F24" s="8" t="s">
        <v>151</v>
      </c>
      <c r="G24" s="12" t="s">
        <v>33</v>
      </c>
      <c r="H24" s="30"/>
    </row>
    <row r="25">
      <c r="A25" s="6">
        <v>24.0</v>
      </c>
      <c r="B25" s="8">
        <v>24.0</v>
      </c>
      <c r="C25" s="8" t="s">
        <v>172</v>
      </c>
      <c r="D25" s="8" t="s">
        <v>173</v>
      </c>
      <c r="E25" s="59">
        <v>46054.0</v>
      </c>
      <c r="F25" s="8" t="s">
        <v>163</v>
      </c>
      <c r="G25" s="12" t="s">
        <v>33</v>
      </c>
      <c r="H25" s="30"/>
    </row>
    <row r="26">
      <c r="A26" s="6">
        <v>25.0</v>
      </c>
      <c r="B26" s="8">
        <v>25.0</v>
      </c>
      <c r="C26" s="8" t="s">
        <v>176</v>
      </c>
      <c r="D26" s="8" t="s">
        <v>178</v>
      </c>
      <c r="E26" s="59">
        <v>46054.0</v>
      </c>
      <c r="F26" s="8" t="s">
        <v>180</v>
      </c>
      <c r="G26" s="12" t="s">
        <v>33</v>
      </c>
      <c r="H26" s="30"/>
    </row>
    <row r="27">
      <c r="A27" s="6">
        <v>26.0</v>
      </c>
      <c r="B27" s="8">
        <v>26.0</v>
      </c>
      <c r="C27" s="10" t="s">
        <v>182</v>
      </c>
      <c r="D27" s="8" t="s">
        <v>50</v>
      </c>
      <c r="E27" s="10" t="s">
        <v>183</v>
      </c>
      <c r="F27" s="8" t="s">
        <v>96</v>
      </c>
      <c r="G27" s="12" t="s">
        <v>14</v>
      </c>
      <c r="H27" s="30"/>
    </row>
    <row r="28">
      <c r="A28" s="6">
        <v>27.0</v>
      </c>
      <c r="B28" s="8">
        <v>27.0</v>
      </c>
      <c r="C28" s="69" t="s">
        <v>187</v>
      </c>
      <c r="D28" s="8" t="s">
        <v>193</v>
      </c>
      <c r="E28" s="69" t="s">
        <v>194</v>
      </c>
      <c r="F28" s="8" t="s">
        <v>151</v>
      </c>
      <c r="G28" s="12" t="s">
        <v>33</v>
      </c>
      <c r="H28" s="30"/>
    </row>
    <row r="29">
      <c r="A29" s="6">
        <v>28.0</v>
      </c>
      <c r="B29" s="8">
        <v>28.0</v>
      </c>
      <c r="C29" s="8" t="s">
        <v>197</v>
      </c>
      <c r="D29" s="8" t="s">
        <v>198</v>
      </c>
      <c r="E29" s="8" t="s">
        <v>200</v>
      </c>
      <c r="F29" s="8" t="s">
        <v>151</v>
      </c>
      <c r="G29" s="12" t="s">
        <v>14</v>
      </c>
      <c r="H29" s="30"/>
    </row>
    <row r="30">
      <c r="A30" s="6">
        <v>29.0</v>
      </c>
      <c r="B30" s="8">
        <v>29.0</v>
      </c>
      <c r="C30" s="8" t="s">
        <v>97</v>
      </c>
      <c r="D30" s="8" t="s">
        <v>100</v>
      </c>
      <c r="E30" s="10" t="s">
        <v>204</v>
      </c>
      <c r="F30" s="8" t="s">
        <v>13</v>
      </c>
      <c r="G30" s="12" t="s">
        <v>14</v>
      </c>
      <c r="H30" s="30"/>
    </row>
    <row r="31">
      <c r="A31" s="6">
        <v>30.0</v>
      </c>
      <c r="B31" s="8">
        <v>30.0</v>
      </c>
      <c r="C31" s="8" t="s">
        <v>209</v>
      </c>
      <c r="D31" s="8" t="s">
        <v>210</v>
      </c>
      <c r="E31" s="70">
        <v>46053.0</v>
      </c>
      <c r="F31" s="8" t="s">
        <v>151</v>
      </c>
      <c r="G31" s="12" t="s">
        <v>31</v>
      </c>
      <c r="H31" s="30"/>
    </row>
    <row r="32" ht="17.25" customHeight="1">
      <c r="A32" s="6">
        <v>31.0</v>
      </c>
      <c r="B32" s="8">
        <v>31.0</v>
      </c>
      <c r="C32" s="8" t="s">
        <v>214</v>
      </c>
      <c r="D32" s="8" t="s">
        <v>215</v>
      </c>
      <c r="E32" s="65">
        <v>46023.0</v>
      </c>
      <c r="F32" s="8" t="s">
        <v>151</v>
      </c>
      <c r="G32" s="12" t="s">
        <v>31</v>
      </c>
      <c r="H32" s="30"/>
    </row>
    <row r="33">
      <c r="A33" s="6">
        <v>32.0</v>
      </c>
      <c r="B33" s="8">
        <v>32.0</v>
      </c>
      <c r="C33" s="69" t="s">
        <v>216</v>
      </c>
      <c r="D33" s="8" t="s">
        <v>218</v>
      </c>
      <c r="E33" s="59">
        <v>46058.0</v>
      </c>
      <c r="F33" s="8" t="s">
        <v>221</v>
      </c>
      <c r="G33" s="12" t="s">
        <v>31</v>
      </c>
      <c r="H33" s="30"/>
    </row>
    <row r="34">
      <c r="A34" s="6">
        <v>33.0</v>
      </c>
      <c r="B34" s="8">
        <v>33.0</v>
      </c>
      <c r="C34" s="8" t="s">
        <v>223</v>
      </c>
      <c r="D34" s="8" t="s">
        <v>224</v>
      </c>
      <c r="E34" s="53" t="s">
        <v>226</v>
      </c>
      <c r="F34" s="8" t="s">
        <v>80</v>
      </c>
      <c r="G34" s="12" t="s">
        <v>14</v>
      </c>
      <c r="H34" s="30"/>
    </row>
    <row r="35">
      <c r="A35" s="6">
        <v>34.0</v>
      </c>
      <c r="B35" s="8">
        <v>34.0</v>
      </c>
      <c r="C35" s="72" t="s">
        <v>229</v>
      </c>
      <c r="D35" s="8" t="s">
        <v>234</v>
      </c>
      <c r="E35" s="65">
        <v>46061.0</v>
      </c>
      <c r="F35" s="8" t="s">
        <v>105</v>
      </c>
      <c r="G35" s="12" t="s">
        <v>14</v>
      </c>
      <c r="H35" s="30"/>
    </row>
    <row r="36">
      <c r="A36" s="6">
        <v>35.0</v>
      </c>
      <c r="B36" s="8">
        <v>35.0</v>
      </c>
      <c r="C36" s="8" t="s">
        <v>238</v>
      </c>
      <c r="D36" s="8" t="s">
        <v>239</v>
      </c>
      <c r="E36" s="8" t="s">
        <v>240</v>
      </c>
      <c r="F36" s="8" t="s">
        <v>105</v>
      </c>
      <c r="G36" s="12" t="s">
        <v>33</v>
      </c>
      <c r="H36" s="30"/>
    </row>
    <row r="37">
      <c r="A37" s="6">
        <v>36.0</v>
      </c>
      <c r="B37" s="8">
        <v>36.0</v>
      </c>
      <c r="C37" s="8" t="s">
        <v>238</v>
      </c>
      <c r="D37" s="8" t="s">
        <v>245</v>
      </c>
      <c r="E37" s="8" t="s">
        <v>240</v>
      </c>
      <c r="F37" s="8" t="s">
        <v>246</v>
      </c>
      <c r="G37" s="12" t="s">
        <v>14</v>
      </c>
      <c r="H37" s="30"/>
    </row>
    <row r="38">
      <c r="A38" s="6">
        <v>37.0</v>
      </c>
      <c r="B38" s="8">
        <v>37.0</v>
      </c>
      <c r="C38" s="8" t="s">
        <v>238</v>
      </c>
      <c r="D38" s="8" t="s">
        <v>249</v>
      </c>
      <c r="E38" s="8" t="s">
        <v>240</v>
      </c>
      <c r="F38" s="8" t="s">
        <v>246</v>
      </c>
      <c r="G38" s="12" t="s">
        <v>14</v>
      </c>
      <c r="H38" s="30"/>
    </row>
    <row r="39">
      <c r="A39" s="6">
        <v>38.0</v>
      </c>
      <c r="B39" s="8">
        <v>38.0</v>
      </c>
      <c r="C39" s="60" t="s">
        <v>238</v>
      </c>
      <c r="D39" s="8" t="s">
        <v>251</v>
      </c>
      <c r="E39" s="8" t="s">
        <v>240</v>
      </c>
      <c r="F39" s="8" t="s">
        <v>246</v>
      </c>
      <c r="G39" s="12" t="s">
        <v>14</v>
      </c>
      <c r="H39" s="30"/>
    </row>
    <row r="40">
      <c r="A40" s="6">
        <v>39.0</v>
      </c>
      <c r="B40" s="8">
        <v>39.0</v>
      </c>
      <c r="C40" s="8" t="s">
        <v>254</v>
      </c>
      <c r="D40" s="8" t="s">
        <v>255</v>
      </c>
      <c r="E40" s="8" t="s">
        <v>256</v>
      </c>
      <c r="F40" s="8" t="s">
        <v>257</v>
      </c>
      <c r="G40" s="12" t="s">
        <v>31</v>
      </c>
      <c r="H40" s="30"/>
    </row>
    <row r="41">
      <c r="A41" s="6">
        <v>40.0</v>
      </c>
      <c r="B41" s="8">
        <v>40.0</v>
      </c>
      <c r="C41" s="75" t="s">
        <v>260</v>
      </c>
      <c r="D41" s="8" t="s">
        <v>262</v>
      </c>
      <c r="E41" s="76" t="s">
        <v>263</v>
      </c>
      <c r="F41" s="8" t="s">
        <v>13</v>
      </c>
      <c r="G41" s="12" t="s">
        <v>33</v>
      </c>
      <c r="H41" s="30"/>
    </row>
    <row r="42">
      <c r="A42" s="6">
        <v>41.0</v>
      </c>
      <c r="B42" s="8">
        <v>41.0</v>
      </c>
      <c r="C42" s="78" t="s">
        <v>267</v>
      </c>
      <c r="D42" s="8" t="s">
        <v>271</v>
      </c>
      <c r="E42" s="79" t="s">
        <v>272</v>
      </c>
      <c r="F42" s="8" t="s">
        <v>13</v>
      </c>
      <c r="G42" s="12" t="s">
        <v>14</v>
      </c>
      <c r="H42" s="30"/>
    </row>
    <row r="43">
      <c r="A43" s="6">
        <v>42.0</v>
      </c>
      <c r="B43" s="8">
        <v>42.0</v>
      </c>
      <c r="C43" s="80" t="s">
        <v>267</v>
      </c>
      <c r="D43" s="8" t="s">
        <v>271</v>
      </c>
      <c r="E43" s="79" t="s">
        <v>280</v>
      </c>
      <c r="F43" s="8" t="s">
        <v>13</v>
      </c>
      <c r="G43" s="12" t="s">
        <v>14</v>
      </c>
      <c r="H43" s="30"/>
    </row>
    <row r="44">
      <c r="A44" s="6">
        <v>43.0</v>
      </c>
      <c r="B44" s="8">
        <v>43.0</v>
      </c>
      <c r="C44" s="10" t="s">
        <v>106</v>
      </c>
      <c r="D44" s="8" t="s">
        <v>282</v>
      </c>
      <c r="E44" s="81" t="s">
        <v>284</v>
      </c>
      <c r="F44" s="8" t="s">
        <v>13</v>
      </c>
      <c r="G44" s="12" t="s">
        <v>14</v>
      </c>
      <c r="H44" s="30"/>
    </row>
    <row r="45">
      <c r="A45" s="6">
        <v>44.0</v>
      </c>
      <c r="B45" s="8">
        <v>44.0</v>
      </c>
      <c r="C45" s="82" t="s">
        <v>288</v>
      </c>
      <c r="D45" s="8" t="s">
        <v>293</v>
      </c>
      <c r="E45" s="10" t="s">
        <v>294</v>
      </c>
      <c r="F45" s="8" t="s">
        <v>13</v>
      </c>
      <c r="G45" s="12" t="s">
        <v>14</v>
      </c>
      <c r="H45" s="30"/>
    </row>
    <row r="46">
      <c r="A46" s="6">
        <v>45.0</v>
      </c>
      <c r="B46" s="8">
        <v>45.0</v>
      </c>
      <c r="C46" s="83" t="s">
        <v>295</v>
      </c>
      <c r="D46" s="8" t="s">
        <v>299</v>
      </c>
      <c r="E46" s="59">
        <v>46061.0</v>
      </c>
      <c r="F46" s="8" t="s">
        <v>300</v>
      </c>
      <c r="G46" s="12" t="s">
        <v>31</v>
      </c>
      <c r="H46" s="30"/>
    </row>
    <row r="47">
      <c r="A47" s="6">
        <v>46.0</v>
      </c>
      <c r="B47" s="8">
        <v>46.0</v>
      </c>
      <c r="C47" s="10" t="s">
        <v>302</v>
      </c>
      <c r="D47" s="8" t="s">
        <v>304</v>
      </c>
      <c r="E47" s="59">
        <v>46065.0</v>
      </c>
      <c r="F47" s="8" t="s">
        <v>157</v>
      </c>
      <c r="G47" s="12" t="s">
        <v>31</v>
      </c>
      <c r="H47" s="30"/>
    </row>
    <row r="48">
      <c r="A48" s="6">
        <v>47.0</v>
      </c>
      <c r="B48" s="8">
        <v>47.0</v>
      </c>
      <c r="C48" s="8" t="s">
        <v>97</v>
      </c>
      <c r="D48" s="8" t="s">
        <v>306</v>
      </c>
      <c r="E48" s="10" t="s">
        <v>308</v>
      </c>
      <c r="F48" s="8" t="s">
        <v>13</v>
      </c>
      <c r="G48" s="12" t="s">
        <v>14</v>
      </c>
      <c r="H48" s="30"/>
    </row>
    <row r="49">
      <c r="A49" s="6">
        <v>48.0</v>
      </c>
      <c r="B49" s="8">
        <v>48.0</v>
      </c>
      <c r="C49" s="53" t="s">
        <v>182</v>
      </c>
      <c r="D49" s="8" t="s">
        <v>50</v>
      </c>
      <c r="E49" s="79" t="s">
        <v>311</v>
      </c>
      <c r="F49" s="8" t="s">
        <v>13</v>
      </c>
      <c r="G49" s="12" t="s">
        <v>14</v>
      </c>
      <c r="H49" s="30"/>
    </row>
    <row r="50">
      <c r="A50" s="6">
        <v>49.0</v>
      </c>
      <c r="B50" s="8">
        <v>49.0</v>
      </c>
      <c r="C50" s="8" t="s">
        <v>315</v>
      </c>
      <c r="D50" s="8" t="s">
        <v>316</v>
      </c>
      <c r="E50" s="84">
        <v>46068.0</v>
      </c>
      <c r="F50" s="8" t="s">
        <v>157</v>
      </c>
      <c r="G50" s="12" t="s">
        <v>33</v>
      </c>
      <c r="H50" s="30"/>
    </row>
    <row r="51" ht="15.0" customHeight="1">
      <c r="A51" s="6">
        <v>50.0</v>
      </c>
      <c r="B51" s="8">
        <v>50.0</v>
      </c>
      <c r="C51" s="85" t="s">
        <v>318</v>
      </c>
      <c r="D51" s="8" t="s">
        <v>320</v>
      </c>
      <c r="E51" s="59">
        <v>46067.0</v>
      </c>
      <c r="F51" s="8" t="s">
        <v>321</v>
      </c>
      <c r="G51" s="12" t="s">
        <v>33</v>
      </c>
      <c r="H51" s="30"/>
    </row>
    <row r="52">
      <c r="A52" s="6">
        <v>51.0</v>
      </c>
      <c r="B52" s="8">
        <v>51.0</v>
      </c>
      <c r="C52" s="87" t="s">
        <v>322</v>
      </c>
      <c r="D52" s="8" t="s">
        <v>325</v>
      </c>
      <c r="E52" s="76" t="s">
        <v>327</v>
      </c>
      <c r="F52" s="8" t="s">
        <v>13</v>
      </c>
      <c r="G52" s="12" t="s">
        <v>33</v>
      </c>
      <c r="H52" s="30"/>
    </row>
    <row r="53">
      <c r="A53" s="6">
        <v>52.0</v>
      </c>
      <c r="B53" s="8">
        <v>52.0</v>
      </c>
      <c r="C53" s="51" t="s">
        <v>331</v>
      </c>
      <c r="D53" s="8" t="s">
        <v>333</v>
      </c>
      <c r="E53" s="88">
        <v>46069.0</v>
      </c>
      <c r="F53" s="8" t="s">
        <v>336</v>
      </c>
      <c r="G53" s="12" t="s">
        <v>33</v>
      </c>
      <c r="H53" s="30"/>
    </row>
    <row r="54">
      <c r="A54" s="6">
        <v>53.0</v>
      </c>
      <c r="B54" s="8">
        <v>53.0</v>
      </c>
      <c r="C54" s="51" t="s">
        <v>339</v>
      </c>
      <c r="D54" s="8" t="s">
        <v>340</v>
      </c>
      <c r="E54" s="89" t="s">
        <v>341</v>
      </c>
      <c r="F54" s="8" t="s">
        <v>13</v>
      </c>
      <c r="G54" s="12" t="s">
        <v>14</v>
      </c>
      <c r="H54" s="30"/>
    </row>
    <row r="55">
      <c r="A55" s="6">
        <v>54.0</v>
      </c>
      <c r="B55" s="8">
        <v>54.0</v>
      </c>
      <c r="C55" s="8" t="s">
        <v>182</v>
      </c>
      <c r="D55" s="8" t="s">
        <v>50</v>
      </c>
      <c r="E55" s="79" t="s">
        <v>347</v>
      </c>
      <c r="F55" s="8" t="s">
        <v>13</v>
      </c>
      <c r="G55" s="12" t="s">
        <v>14</v>
      </c>
      <c r="H55" s="30"/>
    </row>
    <row r="56">
      <c r="A56" s="6">
        <v>55.0</v>
      </c>
      <c r="B56" s="8">
        <v>55.0</v>
      </c>
      <c r="C56" s="8" t="s">
        <v>349</v>
      </c>
      <c r="D56" s="8" t="s">
        <v>351</v>
      </c>
      <c r="E56" s="8" t="s">
        <v>353</v>
      </c>
      <c r="F56" s="8" t="s">
        <v>13</v>
      </c>
      <c r="G56" s="12" t="s">
        <v>14</v>
      </c>
      <c r="H56" s="30"/>
    </row>
    <row r="57">
      <c r="A57" s="6">
        <v>56.0</v>
      </c>
      <c r="B57" s="8">
        <v>56.0</v>
      </c>
      <c r="C57" s="8" t="s">
        <v>355</v>
      </c>
      <c r="D57" s="8" t="s">
        <v>356</v>
      </c>
      <c r="E57" s="59">
        <v>46086.0</v>
      </c>
      <c r="F57" s="8" t="s">
        <v>151</v>
      </c>
      <c r="G57" s="12" t="s">
        <v>33</v>
      </c>
      <c r="H57" s="30"/>
    </row>
    <row r="58" ht="23.25" customHeight="1">
      <c r="A58" s="6">
        <v>57.0</v>
      </c>
      <c r="B58" s="8">
        <v>57.0</v>
      </c>
      <c r="C58" s="8" t="s">
        <v>358</v>
      </c>
      <c r="D58" s="8" t="s">
        <v>360</v>
      </c>
      <c r="E58" s="8" t="s">
        <v>362</v>
      </c>
      <c r="F58" s="8" t="s">
        <v>13</v>
      </c>
      <c r="G58" s="12" t="s">
        <v>14</v>
      </c>
      <c r="H58" s="30"/>
    </row>
    <row r="59">
      <c r="A59" s="6">
        <v>58.0</v>
      </c>
      <c r="B59" s="8">
        <v>58.0</v>
      </c>
      <c r="C59" s="90" t="s">
        <v>364</v>
      </c>
      <c r="D59" s="8" t="s">
        <v>367</v>
      </c>
      <c r="E59" s="10" t="s">
        <v>368</v>
      </c>
      <c r="F59" s="8" t="s">
        <v>13</v>
      </c>
      <c r="G59" s="12" t="s">
        <v>14</v>
      </c>
      <c r="H59" s="30"/>
    </row>
    <row r="60">
      <c r="A60" s="6">
        <v>59.0</v>
      </c>
      <c r="B60" s="8">
        <v>59.0</v>
      </c>
      <c r="C60" s="92" t="s">
        <v>370</v>
      </c>
      <c r="D60" s="8" t="s">
        <v>372</v>
      </c>
      <c r="E60" s="8" t="s">
        <v>373</v>
      </c>
      <c r="F60" s="8" t="s">
        <v>13</v>
      </c>
      <c r="G60" s="12" t="s">
        <v>14</v>
      </c>
      <c r="H60" s="30"/>
    </row>
    <row r="61">
      <c r="A61" s="6">
        <v>60.0</v>
      </c>
      <c r="B61" s="8">
        <v>60.0</v>
      </c>
      <c r="C61" s="69" t="s">
        <v>378</v>
      </c>
      <c r="D61" s="8" t="s">
        <v>379</v>
      </c>
      <c r="E61" s="94" t="s">
        <v>380</v>
      </c>
      <c r="F61" s="8" t="s">
        <v>96</v>
      </c>
      <c r="G61" s="12" t="s">
        <v>14</v>
      </c>
      <c r="H61" s="30"/>
    </row>
    <row r="62">
      <c r="A62" s="6">
        <v>61.0</v>
      </c>
      <c r="B62" s="8">
        <v>61.0</v>
      </c>
      <c r="C62" s="91" t="s">
        <v>385</v>
      </c>
      <c r="D62" s="8" t="s">
        <v>386</v>
      </c>
      <c r="E62" s="8" t="s">
        <v>387</v>
      </c>
      <c r="F62" s="8" t="s">
        <v>96</v>
      </c>
      <c r="G62" s="12" t="s">
        <v>14</v>
      </c>
      <c r="H62" s="30"/>
    </row>
    <row r="63">
      <c r="A63" s="6">
        <v>62.0</v>
      </c>
      <c r="B63" s="8">
        <v>62.0</v>
      </c>
      <c r="C63" s="95" t="s">
        <v>388</v>
      </c>
      <c r="D63" s="8" t="s">
        <v>392</v>
      </c>
      <c r="E63" s="96" t="s">
        <v>393</v>
      </c>
      <c r="F63" s="8" t="s">
        <v>96</v>
      </c>
      <c r="G63" s="12" t="s">
        <v>14</v>
      </c>
      <c r="H63" s="30"/>
    </row>
    <row r="64">
      <c r="A64" s="6">
        <v>63.0</v>
      </c>
      <c r="B64" s="8">
        <v>63.0</v>
      </c>
      <c r="C64" s="8" t="s">
        <v>388</v>
      </c>
      <c r="D64" s="8" t="s">
        <v>399</v>
      </c>
      <c r="E64" s="53" t="s">
        <v>400</v>
      </c>
      <c r="F64" s="8" t="s">
        <v>96</v>
      </c>
      <c r="G64" s="12" t="s">
        <v>14</v>
      </c>
      <c r="H64" s="30"/>
    </row>
    <row r="65">
      <c r="A65" s="6">
        <v>64.0</v>
      </c>
      <c r="B65" s="8">
        <v>64.0</v>
      </c>
      <c r="C65" s="8" t="s">
        <v>403</v>
      </c>
      <c r="D65" s="8" t="s">
        <v>404</v>
      </c>
      <c r="E65" s="59">
        <v>46089.0</v>
      </c>
      <c r="F65" s="8" t="s">
        <v>407</v>
      </c>
      <c r="G65" s="12" t="s">
        <v>33</v>
      </c>
      <c r="H65" s="30"/>
    </row>
    <row r="66">
      <c r="A66" s="6">
        <v>65.0</v>
      </c>
      <c r="B66" s="8">
        <v>65.0</v>
      </c>
      <c r="C66" s="8" t="s">
        <v>410</v>
      </c>
      <c r="D66" s="8" t="s">
        <v>412</v>
      </c>
      <c r="E66" s="8" t="s">
        <v>413</v>
      </c>
      <c r="F66" s="8" t="s">
        <v>414</v>
      </c>
      <c r="G66" s="12" t="s">
        <v>14</v>
      </c>
      <c r="H66" s="30"/>
    </row>
    <row r="67">
      <c r="A67" s="6">
        <v>66.0</v>
      </c>
      <c r="B67" s="8">
        <v>66.0</v>
      </c>
      <c r="C67" s="8" t="s">
        <v>415</v>
      </c>
      <c r="D67" s="8" t="s">
        <v>416</v>
      </c>
      <c r="E67" s="8" t="s">
        <v>413</v>
      </c>
      <c r="F67" s="8" t="s">
        <v>96</v>
      </c>
      <c r="G67" s="12" t="s">
        <v>14</v>
      </c>
      <c r="H67" s="30"/>
    </row>
    <row r="68">
      <c r="A68" s="6">
        <v>67.0</v>
      </c>
      <c r="B68" s="8">
        <v>67.0</v>
      </c>
      <c r="C68" s="97" t="s">
        <v>419</v>
      </c>
      <c r="D68" s="8" t="s">
        <v>423</v>
      </c>
      <c r="E68" s="8" t="s">
        <v>424</v>
      </c>
      <c r="F68" s="8" t="s">
        <v>96</v>
      </c>
      <c r="G68" s="12" t="s">
        <v>14</v>
      </c>
      <c r="H68" s="30"/>
    </row>
    <row r="69">
      <c r="A69" s="6">
        <v>68.0</v>
      </c>
      <c r="B69" s="8">
        <v>68.0</v>
      </c>
      <c r="C69" s="90" t="s">
        <v>427</v>
      </c>
      <c r="D69" s="8" t="s">
        <v>429</v>
      </c>
      <c r="E69" s="96" t="s">
        <v>430</v>
      </c>
      <c r="F69" s="8" t="s">
        <v>96</v>
      </c>
      <c r="G69" s="12" t="s">
        <v>14</v>
      </c>
      <c r="H69" s="30"/>
    </row>
    <row r="70">
      <c r="A70" s="6">
        <v>69.0</v>
      </c>
      <c r="B70" s="8">
        <v>69.0</v>
      </c>
      <c r="C70" s="90" t="s">
        <v>433</v>
      </c>
      <c r="D70" s="8" t="s">
        <v>435</v>
      </c>
      <c r="E70" s="98" t="s">
        <v>424</v>
      </c>
      <c r="F70" s="8" t="s">
        <v>96</v>
      </c>
      <c r="G70" s="12" t="s">
        <v>14</v>
      </c>
      <c r="H70" s="30"/>
    </row>
    <row r="71">
      <c r="A71" s="6">
        <v>70.0</v>
      </c>
      <c r="B71" s="8">
        <v>70.0</v>
      </c>
      <c r="C71" s="69" t="s">
        <v>437</v>
      </c>
      <c r="D71" s="8" t="s">
        <v>438</v>
      </c>
      <c r="E71" s="69" t="s">
        <v>439</v>
      </c>
      <c r="F71" s="8" t="s">
        <v>13</v>
      </c>
      <c r="G71" s="12" t="s">
        <v>33</v>
      </c>
      <c r="H71" s="30"/>
    </row>
    <row r="72">
      <c r="A72" s="6">
        <v>71.0</v>
      </c>
      <c r="B72" s="8">
        <v>71.0</v>
      </c>
      <c r="C72" s="8" t="s">
        <v>441</v>
      </c>
      <c r="D72" s="8" t="s">
        <v>442</v>
      </c>
      <c r="E72" s="8" t="s">
        <v>368</v>
      </c>
      <c r="F72" s="8" t="s">
        <v>13</v>
      </c>
      <c r="G72" s="12" t="s">
        <v>14</v>
      </c>
      <c r="H72" s="30"/>
    </row>
    <row r="73" ht="18.0" customHeight="1">
      <c r="A73" s="6">
        <v>72.0</v>
      </c>
      <c r="B73" s="8">
        <v>72.0</v>
      </c>
      <c r="C73" s="48" t="s">
        <v>445</v>
      </c>
      <c r="D73" s="8" t="s">
        <v>446</v>
      </c>
      <c r="E73" s="96" t="s">
        <v>447</v>
      </c>
      <c r="F73" s="8" t="s">
        <v>13</v>
      </c>
      <c r="G73" s="12" t="s">
        <v>14</v>
      </c>
      <c r="H73" s="30"/>
    </row>
    <row r="74">
      <c r="A74" s="6">
        <v>73.0</v>
      </c>
      <c r="B74" s="8">
        <v>73.0</v>
      </c>
      <c r="C74" s="8" t="s">
        <v>448</v>
      </c>
      <c r="D74" s="8" t="s">
        <v>449</v>
      </c>
      <c r="E74" s="8" t="s">
        <v>447</v>
      </c>
      <c r="F74" s="8" t="s">
        <v>13</v>
      </c>
      <c r="G74" s="12" t="s">
        <v>14</v>
      </c>
      <c r="H74" s="30"/>
    </row>
    <row r="75">
      <c r="A75" s="6">
        <v>74.0</v>
      </c>
      <c r="B75" s="8">
        <v>74.0</v>
      </c>
      <c r="C75" s="8" t="s">
        <v>452</v>
      </c>
      <c r="D75" s="8" t="s">
        <v>449</v>
      </c>
      <c r="E75" s="8" t="s">
        <v>447</v>
      </c>
      <c r="F75" s="8" t="s">
        <v>13</v>
      </c>
      <c r="G75" s="12" t="s">
        <v>14</v>
      </c>
      <c r="H75" s="30"/>
    </row>
    <row r="76">
      <c r="A76" s="6">
        <v>75.0</v>
      </c>
      <c r="B76" s="8">
        <v>75.0</v>
      </c>
      <c r="C76" s="48" t="s">
        <v>454</v>
      </c>
      <c r="D76" s="8" t="s">
        <v>455</v>
      </c>
      <c r="E76" s="100" t="s">
        <v>456</v>
      </c>
      <c r="F76" s="8" t="s">
        <v>13</v>
      </c>
      <c r="G76" s="12" t="s">
        <v>14</v>
      </c>
      <c r="H76" s="30"/>
    </row>
    <row r="77">
      <c r="A77" s="6">
        <v>76.0</v>
      </c>
      <c r="B77" s="8">
        <v>76.0</v>
      </c>
      <c r="C77" s="69" t="s">
        <v>65</v>
      </c>
      <c r="D77" s="8" t="s">
        <v>457</v>
      </c>
      <c r="E77" s="69" t="s">
        <v>458</v>
      </c>
      <c r="F77" s="8" t="s">
        <v>13</v>
      </c>
      <c r="G77" s="12" t="s">
        <v>33</v>
      </c>
      <c r="H77" s="30"/>
    </row>
    <row r="78">
      <c r="A78" s="6">
        <v>77.0</v>
      </c>
      <c r="B78" s="8">
        <v>77.0</v>
      </c>
      <c r="C78" s="8" t="s">
        <v>461</v>
      </c>
      <c r="D78" s="8" t="s">
        <v>462</v>
      </c>
      <c r="E78" s="59">
        <v>46124.0</v>
      </c>
      <c r="F78" s="8" t="s">
        <v>464</v>
      </c>
      <c r="G78" s="12" t="s">
        <v>33</v>
      </c>
      <c r="H78" s="30"/>
    </row>
    <row r="79" ht="13.5" customHeight="1">
      <c r="A79" s="6">
        <v>78.0</v>
      </c>
      <c r="B79" s="99">
        <v>78.0</v>
      </c>
      <c r="C79" s="48" t="s">
        <v>465</v>
      </c>
      <c r="D79" s="8" t="s">
        <v>466</v>
      </c>
      <c r="E79" s="8" t="s">
        <v>368</v>
      </c>
      <c r="F79" s="8" t="s">
        <v>13</v>
      </c>
      <c r="G79" s="12" t="s">
        <v>14</v>
      </c>
      <c r="H79" s="30"/>
    </row>
    <row r="80">
      <c r="A80" s="6">
        <v>79.0</v>
      </c>
      <c r="B80" s="8">
        <v>79.0</v>
      </c>
      <c r="C80" s="8" t="s">
        <v>469</v>
      </c>
      <c r="D80" s="8" t="s">
        <v>470</v>
      </c>
      <c r="E80" s="8" t="s">
        <v>424</v>
      </c>
      <c r="F80" s="8" t="s">
        <v>13</v>
      </c>
      <c r="G80" s="12" t="s">
        <v>14</v>
      </c>
      <c r="H80" s="30"/>
    </row>
    <row r="81">
      <c r="A81" s="6">
        <v>80.0</v>
      </c>
      <c r="B81" s="8">
        <v>80.0</v>
      </c>
      <c r="C81" s="8" t="s">
        <v>473</v>
      </c>
      <c r="D81" s="8" t="s">
        <v>475</v>
      </c>
      <c r="E81" s="8" t="s">
        <v>476</v>
      </c>
      <c r="F81" s="8" t="s">
        <v>13</v>
      </c>
      <c r="G81" s="12" t="s">
        <v>14</v>
      </c>
      <c r="H81" s="30"/>
    </row>
    <row r="82">
      <c r="A82" s="6">
        <v>81.0</v>
      </c>
      <c r="B82" s="8">
        <v>81.0</v>
      </c>
      <c r="C82" s="8" t="s">
        <v>478</v>
      </c>
      <c r="D82" s="8" t="s">
        <v>480</v>
      </c>
      <c r="E82" s="8" t="s">
        <v>481</v>
      </c>
      <c r="F82" s="8" t="s">
        <v>13</v>
      </c>
      <c r="G82" s="12" t="s">
        <v>14</v>
      </c>
      <c r="H82" s="30"/>
    </row>
    <row r="83">
      <c r="A83" s="6">
        <v>82.0</v>
      </c>
      <c r="B83" s="8">
        <v>82.0</v>
      </c>
      <c r="C83" s="8" t="s">
        <v>483</v>
      </c>
      <c r="D83" s="8" t="s">
        <v>485</v>
      </c>
      <c r="E83" s="8" t="s">
        <v>413</v>
      </c>
      <c r="F83" s="8" t="s">
        <v>13</v>
      </c>
      <c r="G83" s="12" t="s">
        <v>14</v>
      </c>
      <c r="H83" s="30"/>
    </row>
    <row r="84">
      <c r="A84" s="6">
        <v>83.0</v>
      </c>
      <c r="B84" s="8">
        <v>83.0</v>
      </c>
      <c r="C84" s="92" t="s">
        <v>488</v>
      </c>
      <c r="D84" s="8" t="s">
        <v>490</v>
      </c>
      <c r="E84" s="103" t="s">
        <v>491</v>
      </c>
      <c r="F84" s="8" t="s">
        <v>13</v>
      </c>
      <c r="G84" s="12" t="s">
        <v>14</v>
      </c>
      <c r="H84" s="30"/>
    </row>
    <row r="85">
      <c r="A85" s="6">
        <v>84.0</v>
      </c>
      <c r="B85" s="8">
        <v>84.0</v>
      </c>
      <c r="C85" s="96" t="s">
        <v>497</v>
      </c>
      <c r="D85" s="8" t="s">
        <v>498</v>
      </c>
      <c r="E85" s="96" t="s">
        <v>476</v>
      </c>
      <c r="F85" s="8" t="s">
        <v>13</v>
      </c>
      <c r="G85" s="12" t="s">
        <v>14</v>
      </c>
      <c r="H85" s="30"/>
    </row>
    <row r="86">
      <c r="A86" s="6">
        <v>85.0</v>
      </c>
      <c r="B86" s="8">
        <v>85.0</v>
      </c>
      <c r="C86" s="8" t="s">
        <v>502</v>
      </c>
      <c r="D86" s="8" t="s">
        <v>503</v>
      </c>
      <c r="E86" s="8" t="s">
        <v>504</v>
      </c>
      <c r="F86" s="8" t="s">
        <v>13</v>
      </c>
      <c r="G86" s="12" t="s">
        <v>14</v>
      </c>
      <c r="H86" s="12"/>
    </row>
    <row r="87">
      <c r="A87" s="6">
        <v>86.0</v>
      </c>
      <c r="B87" s="8">
        <v>86.0</v>
      </c>
      <c r="C87" s="8" t="s">
        <v>508</v>
      </c>
      <c r="D87" s="8" t="s">
        <v>142</v>
      </c>
      <c r="E87" s="8">
        <v>23.24</v>
      </c>
      <c r="F87" s="8" t="s">
        <v>13</v>
      </c>
      <c r="G87" s="12" t="s">
        <v>14</v>
      </c>
      <c r="H87" s="30"/>
    </row>
    <row r="88">
      <c r="A88" s="6">
        <v>87.0</v>
      </c>
      <c r="B88" s="8">
        <v>87.0</v>
      </c>
      <c r="C88" s="107" t="s">
        <v>512</v>
      </c>
      <c r="D88" s="8" t="s">
        <v>519</v>
      </c>
      <c r="E88" s="53" t="s">
        <v>520</v>
      </c>
      <c r="F88" s="8" t="s">
        <v>13</v>
      </c>
      <c r="G88" s="12" t="s">
        <v>14</v>
      </c>
      <c r="H88" s="30"/>
    </row>
    <row r="89">
      <c r="A89" s="6">
        <v>88.0</v>
      </c>
      <c r="B89" s="8">
        <v>88.0</v>
      </c>
      <c r="C89" s="8" t="s">
        <v>524</v>
      </c>
      <c r="D89" s="8" t="s">
        <v>526</v>
      </c>
      <c r="E89" s="53" t="s">
        <v>520</v>
      </c>
      <c r="F89" s="8" t="s">
        <v>13</v>
      </c>
      <c r="G89" s="12" t="s">
        <v>14</v>
      </c>
      <c r="H89" s="30"/>
    </row>
    <row r="90">
      <c r="A90" s="6">
        <v>89.0</v>
      </c>
      <c r="B90" s="8">
        <v>89.0</v>
      </c>
      <c r="C90" s="8" t="s">
        <v>531</v>
      </c>
      <c r="D90" s="8" t="s">
        <v>534</v>
      </c>
      <c r="E90" s="8" t="s">
        <v>535</v>
      </c>
      <c r="F90" s="8" t="s">
        <v>13</v>
      </c>
      <c r="G90" s="12" t="s">
        <v>14</v>
      </c>
      <c r="H90" s="30"/>
    </row>
    <row r="91">
      <c r="A91" s="6">
        <v>90.0</v>
      </c>
      <c r="B91" s="8">
        <v>90.0</v>
      </c>
      <c r="C91" s="8" t="s">
        <v>88</v>
      </c>
      <c r="D91" s="8" t="s">
        <v>536</v>
      </c>
      <c r="E91" s="96" t="s">
        <v>476</v>
      </c>
      <c r="F91" s="8" t="s">
        <v>13</v>
      </c>
      <c r="G91" s="12" t="s">
        <v>14</v>
      </c>
      <c r="H91" s="30"/>
    </row>
    <row r="92">
      <c r="A92" s="6">
        <v>91.0</v>
      </c>
      <c r="B92" s="8">
        <v>91.0</v>
      </c>
      <c r="C92" s="53" t="s">
        <v>541</v>
      </c>
      <c r="D92" s="8" t="s">
        <v>542</v>
      </c>
      <c r="E92" s="96" t="s">
        <v>543</v>
      </c>
      <c r="F92" s="8" t="s">
        <v>13</v>
      </c>
      <c r="G92" s="12" t="s">
        <v>14</v>
      </c>
      <c r="H92" s="30"/>
    </row>
    <row r="93">
      <c r="A93" s="6">
        <v>92.0</v>
      </c>
      <c r="B93" s="8">
        <v>92.0</v>
      </c>
      <c r="C93" s="8" t="s">
        <v>545</v>
      </c>
      <c r="D93" s="8" t="s">
        <v>536</v>
      </c>
      <c r="E93" s="96" t="s">
        <v>476</v>
      </c>
      <c r="F93" s="8" t="s">
        <v>13</v>
      </c>
      <c r="G93" s="12" t="s">
        <v>14</v>
      </c>
      <c r="H93" s="30"/>
    </row>
    <row r="94">
      <c r="A94" s="6">
        <v>93.0</v>
      </c>
      <c r="B94" s="8">
        <v>93.0</v>
      </c>
      <c r="C94" s="8" t="s">
        <v>550</v>
      </c>
      <c r="D94" s="8" t="s">
        <v>551</v>
      </c>
      <c r="E94" s="8" t="s">
        <v>554</v>
      </c>
      <c r="F94" s="8" t="s">
        <v>13</v>
      </c>
      <c r="G94" s="12" t="s">
        <v>14</v>
      </c>
      <c r="H94" s="30"/>
    </row>
    <row r="95">
      <c r="A95" s="6">
        <v>94.0</v>
      </c>
      <c r="B95" s="8">
        <v>94.0</v>
      </c>
      <c r="C95" s="8" t="s">
        <v>182</v>
      </c>
      <c r="D95" s="8" t="s">
        <v>557</v>
      </c>
      <c r="E95" s="8" t="s">
        <v>558</v>
      </c>
      <c r="F95" s="8" t="s">
        <v>13</v>
      </c>
      <c r="G95" s="12" t="s">
        <v>14</v>
      </c>
      <c r="H95" s="30"/>
    </row>
    <row r="96">
      <c r="A96" s="6">
        <v>95.0</v>
      </c>
      <c r="B96" s="8">
        <v>95.0</v>
      </c>
      <c r="C96" s="97" t="s">
        <v>561</v>
      </c>
      <c r="D96" s="8" t="s">
        <v>562</v>
      </c>
      <c r="E96" s="10" t="s">
        <v>373</v>
      </c>
      <c r="F96" s="8" t="s">
        <v>13</v>
      </c>
      <c r="G96" s="12" t="s">
        <v>14</v>
      </c>
      <c r="H96" s="30"/>
    </row>
    <row r="97">
      <c r="A97" s="6">
        <v>96.0</v>
      </c>
      <c r="B97" s="8">
        <v>96.0</v>
      </c>
      <c r="C97" s="79" t="s">
        <v>565</v>
      </c>
      <c r="D97" s="8" t="s">
        <v>562</v>
      </c>
      <c r="E97" s="10" t="s">
        <v>566</v>
      </c>
      <c r="F97" s="8" t="s">
        <v>13</v>
      </c>
      <c r="G97" s="12" t="s">
        <v>14</v>
      </c>
      <c r="H97" s="30"/>
    </row>
    <row r="98">
      <c r="A98" s="6">
        <v>97.0</v>
      </c>
      <c r="B98" s="8">
        <v>97.0</v>
      </c>
      <c r="C98" s="112" t="s">
        <v>568</v>
      </c>
      <c r="D98" s="8" t="s">
        <v>589</v>
      </c>
      <c r="E98" s="10" t="s">
        <v>592</v>
      </c>
      <c r="F98" s="8" t="s">
        <v>13</v>
      </c>
      <c r="G98" s="12" t="s">
        <v>14</v>
      </c>
      <c r="H98" s="30"/>
    </row>
    <row r="99">
      <c r="A99" s="6">
        <v>98.0</v>
      </c>
      <c r="B99" s="8">
        <v>98.0</v>
      </c>
      <c r="C99" s="72" t="s">
        <v>597</v>
      </c>
      <c r="D99" s="8" t="s">
        <v>598</v>
      </c>
      <c r="E99" s="10" t="s">
        <v>599</v>
      </c>
      <c r="F99" s="8" t="s">
        <v>13</v>
      </c>
      <c r="G99" s="12" t="s">
        <v>14</v>
      </c>
      <c r="H99" s="30"/>
    </row>
    <row r="100">
      <c r="A100" s="6">
        <v>99.0</v>
      </c>
      <c r="B100" s="8">
        <v>99.0</v>
      </c>
      <c r="C100" s="113" t="s">
        <v>604</v>
      </c>
      <c r="D100" s="8" t="s">
        <v>607</v>
      </c>
      <c r="E100" s="8" t="s">
        <v>481</v>
      </c>
      <c r="F100" s="8" t="s">
        <v>13</v>
      </c>
      <c r="G100" s="12" t="s">
        <v>14</v>
      </c>
      <c r="H100" s="30"/>
    </row>
    <row r="101">
      <c r="A101" s="6">
        <v>100.0</v>
      </c>
      <c r="B101" s="8">
        <v>100.0</v>
      </c>
      <c r="C101" s="115" t="s">
        <v>611</v>
      </c>
      <c r="D101" s="8" t="s">
        <v>562</v>
      </c>
      <c r="E101" s="76" t="s">
        <v>618</v>
      </c>
      <c r="F101" s="8" t="s">
        <v>13</v>
      </c>
      <c r="G101" s="12" t="s">
        <v>14</v>
      </c>
      <c r="H101" s="30"/>
    </row>
    <row r="102">
      <c r="A102" s="6">
        <v>101.0</v>
      </c>
      <c r="B102" s="8">
        <v>101.0</v>
      </c>
      <c r="C102" s="116" t="s">
        <v>624</v>
      </c>
      <c r="D102" s="8" t="s">
        <v>628</v>
      </c>
      <c r="E102" s="113" t="s">
        <v>629</v>
      </c>
      <c r="F102" s="8" t="s">
        <v>13</v>
      </c>
      <c r="G102" s="12" t="s">
        <v>14</v>
      </c>
      <c r="H102" s="30"/>
    </row>
    <row r="103">
      <c r="A103" s="6">
        <v>102.0</v>
      </c>
      <c r="B103" s="8">
        <v>102.0</v>
      </c>
      <c r="C103" s="116" t="s">
        <v>632</v>
      </c>
      <c r="D103" s="8" t="s">
        <v>633</v>
      </c>
      <c r="E103" s="8" t="s">
        <v>368</v>
      </c>
      <c r="F103" s="8" t="s">
        <v>13</v>
      </c>
      <c r="G103" s="12" t="s">
        <v>14</v>
      </c>
      <c r="H103" s="30"/>
    </row>
    <row r="104">
      <c r="A104" s="6">
        <v>103.0</v>
      </c>
      <c r="B104" s="8">
        <v>103.0</v>
      </c>
      <c r="C104" s="8" t="s">
        <v>637</v>
      </c>
      <c r="D104" s="8" t="s">
        <v>638</v>
      </c>
      <c r="E104" s="8" t="s">
        <v>456</v>
      </c>
      <c r="F104" s="8" t="s">
        <v>13</v>
      </c>
      <c r="G104" s="12" t="s">
        <v>14</v>
      </c>
      <c r="H104" s="30"/>
    </row>
    <row r="105">
      <c r="A105" s="6">
        <v>104.0</v>
      </c>
      <c r="B105" s="8">
        <v>104.0</v>
      </c>
      <c r="C105" s="8" t="s">
        <v>642</v>
      </c>
      <c r="D105" s="8" t="s">
        <v>643</v>
      </c>
      <c r="E105" s="8" t="s">
        <v>644</v>
      </c>
      <c r="F105" s="8" t="s">
        <v>13</v>
      </c>
      <c r="G105" s="12" t="s">
        <v>14</v>
      </c>
      <c r="H105" s="30"/>
    </row>
    <row r="106">
      <c r="A106" s="6">
        <v>105.0</v>
      </c>
      <c r="B106" s="8">
        <v>105.0</v>
      </c>
      <c r="C106" s="79" t="s">
        <v>647</v>
      </c>
      <c r="D106" s="8" t="s">
        <v>648</v>
      </c>
      <c r="E106" s="79" t="s">
        <v>368</v>
      </c>
      <c r="F106" s="8" t="s">
        <v>13</v>
      </c>
      <c r="G106" s="12" t="s">
        <v>14</v>
      </c>
      <c r="H106" s="30"/>
    </row>
    <row r="107" ht="18.75" customHeight="1">
      <c r="A107" s="6">
        <v>106.0</v>
      </c>
      <c r="B107" s="8">
        <v>106.0</v>
      </c>
      <c r="C107" s="117" t="s">
        <v>651</v>
      </c>
      <c r="D107" s="8" t="s">
        <v>655</v>
      </c>
      <c r="E107" s="117" t="s">
        <v>656</v>
      </c>
      <c r="F107" s="8" t="s">
        <v>13</v>
      </c>
      <c r="G107" s="12" t="s">
        <v>14</v>
      </c>
      <c r="H107" s="30"/>
    </row>
    <row r="108">
      <c r="A108" s="6">
        <v>107.0</v>
      </c>
      <c r="B108" s="8">
        <v>107.0</v>
      </c>
      <c r="C108" s="79" t="s">
        <v>659</v>
      </c>
      <c r="D108" s="8" t="s">
        <v>661</v>
      </c>
      <c r="E108" s="79" t="s">
        <v>662</v>
      </c>
      <c r="F108" s="8" t="s">
        <v>13</v>
      </c>
      <c r="G108" s="12" t="s">
        <v>14</v>
      </c>
      <c r="H108" s="30"/>
    </row>
    <row r="109">
      <c r="A109" s="6">
        <v>108.0</v>
      </c>
      <c r="B109" s="8">
        <v>108.0</v>
      </c>
      <c r="C109" s="53" t="s">
        <v>659</v>
      </c>
      <c r="D109" s="8" t="s">
        <v>661</v>
      </c>
      <c r="E109" s="118" t="s">
        <v>665</v>
      </c>
      <c r="F109" s="8" t="s">
        <v>13</v>
      </c>
      <c r="G109" s="12" t="s">
        <v>14</v>
      </c>
      <c r="H109" s="30"/>
    </row>
    <row r="110">
      <c r="A110" s="6">
        <v>109.0</v>
      </c>
      <c r="B110" s="8">
        <v>109.0</v>
      </c>
      <c r="C110" s="51" t="s">
        <v>670</v>
      </c>
      <c r="D110" s="8" t="s">
        <v>661</v>
      </c>
      <c r="E110" s="118" t="s">
        <v>671</v>
      </c>
      <c r="F110" s="8" t="s">
        <v>13</v>
      </c>
      <c r="G110" s="12" t="s">
        <v>14</v>
      </c>
      <c r="H110" s="30"/>
    </row>
    <row r="111">
      <c r="A111" s="6">
        <v>110.0</v>
      </c>
      <c r="B111" s="8">
        <v>110.0</v>
      </c>
      <c r="C111" s="76" t="s">
        <v>672</v>
      </c>
      <c r="D111" s="8" t="s">
        <v>661</v>
      </c>
      <c r="E111" s="76" t="s">
        <v>673</v>
      </c>
      <c r="F111" s="8" t="s">
        <v>13</v>
      </c>
      <c r="G111" s="12" t="s">
        <v>14</v>
      </c>
      <c r="H111" s="30"/>
    </row>
    <row r="112">
      <c r="A112" s="6">
        <v>111.0</v>
      </c>
      <c r="B112" s="8">
        <v>111.0</v>
      </c>
      <c r="C112" s="119" t="s">
        <v>674</v>
      </c>
      <c r="D112" s="8" t="s">
        <v>661</v>
      </c>
      <c r="E112" s="118" t="s">
        <v>456</v>
      </c>
      <c r="F112" s="8" t="s">
        <v>13</v>
      </c>
      <c r="G112" s="12" t="s">
        <v>14</v>
      </c>
      <c r="H112" s="30"/>
    </row>
    <row r="113">
      <c r="A113" s="6">
        <v>112.0</v>
      </c>
      <c r="B113" s="8">
        <v>112.0</v>
      </c>
      <c r="C113" s="69" t="s">
        <v>677</v>
      </c>
      <c r="D113" s="8" t="s">
        <v>678</v>
      </c>
      <c r="E113" s="59">
        <v>46100.0</v>
      </c>
      <c r="F113" s="8" t="s">
        <v>679</v>
      </c>
      <c r="G113" s="12" t="s">
        <v>31</v>
      </c>
      <c r="H113" s="30"/>
    </row>
    <row r="114">
      <c r="A114" s="6">
        <v>113.0</v>
      </c>
      <c r="B114" s="8">
        <v>113.0</v>
      </c>
      <c r="C114" s="79" t="s">
        <v>681</v>
      </c>
      <c r="D114" s="8" t="s">
        <v>682</v>
      </c>
      <c r="E114" s="8" t="s">
        <v>683</v>
      </c>
      <c r="F114" s="8" t="s">
        <v>13</v>
      </c>
      <c r="G114" s="12" t="s">
        <v>14</v>
      </c>
      <c r="H114" s="30"/>
    </row>
    <row r="115">
      <c r="A115" s="6">
        <v>114.0</v>
      </c>
      <c r="B115" s="8">
        <v>114.0</v>
      </c>
      <c r="C115" s="79" t="s">
        <v>686</v>
      </c>
      <c r="D115" s="8" t="s">
        <v>687</v>
      </c>
      <c r="E115" s="8" t="s">
        <v>520</v>
      </c>
      <c r="F115" s="8" t="s">
        <v>13</v>
      </c>
      <c r="G115" s="12" t="s">
        <v>14</v>
      </c>
      <c r="H115" s="30"/>
    </row>
    <row r="116">
      <c r="A116" s="6">
        <v>115.0</v>
      </c>
      <c r="B116" s="8">
        <v>115.0</v>
      </c>
      <c r="C116" s="8" t="s">
        <v>690</v>
      </c>
      <c r="D116" s="8" t="s">
        <v>691</v>
      </c>
      <c r="E116" s="59">
        <v>46100.0</v>
      </c>
      <c r="F116" s="8" t="s">
        <v>13</v>
      </c>
      <c r="G116" s="12" t="s">
        <v>14</v>
      </c>
      <c r="H116" s="30"/>
    </row>
    <row r="117">
      <c r="A117" s="6">
        <v>116.0</v>
      </c>
      <c r="B117" s="8">
        <v>116.0</v>
      </c>
      <c r="C117" s="8" t="s">
        <v>692</v>
      </c>
      <c r="D117" s="8" t="s">
        <v>142</v>
      </c>
      <c r="E117" s="118" t="s">
        <v>693</v>
      </c>
      <c r="F117" s="8" t="s">
        <v>13</v>
      </c>
      <c r="G117" s="12" t="s">
        <v>14</v>
      </c>
      <c r="H117" s="30"/>
    </row>
    <row r="118">
      <c r="A118" s="6">
        <v>117.0</v>
      </c>
      <c r="B118" s="8">
        <v>117.0</v>
      </c>
      <c r="C118" s="8" t="s">
        <v>690</v>
      </c>
      <c r="D118" s="8" t="s">
        <v>687</v>
      </c>
      <c r="E118" s="8" t="s">
        <v>520</v>
      </c>
      <c r="F118" s="8" t="s">
        <v>13</v>
      </c>
      <c r="G118" s="12" t="s">
        <v>14</v>
      </c>
      <c r="H118" s="30"/>
    </row>
    <row r="119">
      <c r="A119" s="6">
        <v>118.0</v>
      </c>
      <c r="B119" s="8">
        <v>118.0</v>
      </c>
      <c r="C119" s="8" t="s">
        <v>700</v>
      </c>
      <c r="D119" s="8" t="s">
        <v>687</v>
      </c>
      <c r="E119" s="118" t="s">
        <v>703</v>
      </c>
      <c r="F119" s="8" t="s">
        <v>13</v>
      </c>
      <c r="G119" s="12" t="s">
        <v>14</v>
      </c>
      <c r="H119" s="30"/>
    </row>
    <row r="120">
      <c r="A120" s="6">
        <v>119.0</v>
      </c>
      <c r="B120" s="8">
        <v>119.0</v>
      </c>
      <c r="C120" s="69" t="s">
        <v>705</v>
      </c>
      <c r="D120" s="8" t="s">
        <v>706</v>
      </c>
      <c r="E120" s="69" t="s">
        <v>707</v>
      </c>
      <c r="F120" s="8" t="s">
        <v>96</v>
      </c>
      <c r="G120" s="12" t="s">
        <v>33</v>
      </c>
      <c r="H120" s="30"/>
    </row>
    <row r="121">
      <c r="A121" s="6">
        <v>120.0</v>
      </c>
      <c r="B121" s="8">
        <v>120.0</v>
      </c>
      <c r="C121" s="8" t="s">
        <v>230</v>
      </c>
      <c r="D121" s="8" t="s">
        <v>709</v>
      </c>
      <c r="E121" s="69" t="s">
        <v>707</v>
      </c>
      <c r="F121" s="8" t="s">
        <v>96</v>
      </c>
      <c r="G121" s="12" t="s">
        <v>14</v>
      </c>
      <c r="H121" s="30"/>
    </row>
    <row r="122">
      <c r="A122" s="6">
        <v>121.0</v>
      </c>
      <c r="B122" s="8">
        <v>121.0</v>
      </c>
      <c r="C122" s="69" t="s">
        <v>711</v>
      </c>
      <c r="D122" s="8" t="s">
        <v>712</v>
      </c>
      <c r="E122" s="69" t="s">
        <v>713</v>
      </c>
      <c r="F122" s="8" t="s">
        <v>13</v>
      </c>
      <c r="G122" s="12" t="s">
        <v>33</v>
      </c>
      <c r="H122" s="30"/>
    </row>
    <row r="123">
      <c r="A123" s="6">
        <v>122.0</v>
      </c>
      <c r="B123" s="8">
        <v>122.0</v>
      </c>
      <c r="C123" s="69" t="s">
        <v>79</v>
      </c>
      <c r="D123" s="8" t="s">
        <v>715</v>
      </c>
      <c r="E123" s="69" t="s">
        <v>716</v>
      </c>
      <c r="F123" s="8" t="s">
        <v>13</v>
      </c>
      <c r="G123" s="12" t="s">
        <v>33</v>
      </c>
      <c r="H123" s="30"/>
    </row>
    <row r="124">
      <c r="A124" s="6">
        <v>123.0</v>
      </c>
      <c r="B124" s="8">
        <v>123.0</v>
      </c>
      <c r="C124" s="69" t="s">
        <v>718</v>
      </c>
      <c r="D124" s="8" t="s">
        <v>720</v>
      </c>
      <c r="E124" s="69" t="s">
        <v>713</v>
      </c>
      <c r="F124" s="8" t="s">
        <v>13</v>
      </c>
      <c r="G124" s="12" t="s">
        <v>33</v>
      </c>
      <c r="H124" s="30"/>
    </row>
    <row r="125">
      <c r="A125" s="6">
        <v>124.0</v>
      </c>
      <c r="B125" s="8">
        <v>124.0</v>
      </c>
      <c r="C125" s="8" t="s">
        <v>721</v>
      </c>
      <c r="D125" s="8" t="s">
        <v>723</v>
      </c>
      <c r="E125" s="69" t="s">
        <v>713</v>
      </c>
      <c r="F125" s="8" t="s">
        <v>13</v>
      </c>
      <c r="G125" s="12" t="s">
        <v>14</v>
      </c>
      <c r="H125" s="30"/>
    </row>
    <row r="126">
      <c r="A126" s="6">
        <v>125.0</v>
      </c>
      <c r="B126" s="8">
        <v>125.0</v>
      </c>
      <c r="C126" s="69" t="s">
        <v>726</v>
      </c>
      <c r="D126" s="8" t="s">
        <v>727</v>
      </c>
      <c r="E126" s="8" t="s">
        <v>729</v>
      </c>
      <c r="F126" s="8" t="s">
        <v>13</v>
      </c>
      <c r="G126" s="12" t="s">
        <v>33</v>
      </c>
      <c r="H126" s="30"/>
    </row>
    <row r="127">
      <c r="A127" s="6">
        <v>126.0</v>
      </c>
      <c r="B127" s="8">
        <v>126.0</v>
      </c>
      <c r="C127" s="8" t="s">
        <v>469</v>
      </c>
      <c r="D127" s="8" t="s">
        <v>732</v>
      </c>
      <c r="E127" s="8" t="s">
        <v>733</v>
      </c>
      <c r="F127" s="8" t="s">
        <v>13</v>
      </c>
      <c r="G127" s="12" t="s">
        <v>14</v>
      </c>
      <c r="H127" s="30"/>
    </row>
    <row r="128">
      <c r="A128" s="6">
        <v>127.0</v>
      </c>
      <c r="B128" s="8">
        <v>127.0</v>
      </c>
      <c r="C128" s="8" t="s">
        <v>531</v>
      </c>
      <c r="D128" s="8" t="s">
        <v>736</v>
      </c>
      <c r="E128" s="8" t="s">
        <v>737</v>
      </c>
      <c r="F128" s="8" t="s">
        <v>13</v>
      </c>
      <c r="G128" s="12" t="s">
        <v>14</v>
      </c>
      <c r="H128" s="30"/>
    </row>
    <row r="129">
      <c r="A129" s="6">
        <v>128.0</v>
      </c>
      <c r="B129" s="8">
        <v>128.0</v>
      </c>
      <c r="C129" s="60" t="s">
        <v>502</v>
      </c>
      <c r="D129" s="8" t="s">
        <v>367</v>
      </c>
      <c r="E129" s="59">
        <v>46110.0</v>
      </c>
      <c r="F129" s="8" t="s">
        <v>13</v>
      </c>
      <c r="G129" s="12" t="s">
        <v>14</v>
      </c>
      <c r="H129" s="30"/>
    </row>
    <row r="130">
      <c r="A130" s="6">
        <v>129.0</v>
      </c>
      <c r="B130" s="8">
        <v>129.0</v>
      </c>
      <c r="C130" s="8" t="s">
        <v>742</v>
      </c>
      <c r="D130" s="8" t="s">
        <v>743</v>
      </c>
      <c r="E130" s="59">
        <v>46123.0</v>
      </c>
      <c r="F130" s="8" t="s">
        <v>744</v>
      </c>
      <c r="G130" s="12" t="s">
        <v>31</v>
      </c>
      <c r="H130" s="30"/>
    </row>
    <row r="131">
      <c r="A131" s="6">
        <v>130.0</v>
      </c>
      <c r="B131" s="8">
        <v>130.0</v>
      </c>
      <c r="C131" s="8" t="s">
        <v>745</v>
      </c>
      <c r="D131" s="8" t="s">
        <v>746</v>
      </c>
      <c r="E131" s="71" t="s">
        <v>747</v>
      </c>
      <c r="F131" s="8" t="s">
        <v>13</v>
      </c>
      <c r="G131" s="12" t="s">
        <v>14</v>
      </c>
      <c r="H131" s="30"/>
    </row>
    <row r="132">
      <c r="A132" s="6">
        <v>131.0</v>
      </c>
      <c r="B132" s="8">
        <v>131.0</v>
      </c>
      <c r="C132" s="117" t="s">
        <v>749</v>
      </c>
      <c r="D132" s="8" t="s">
        <v>750</v>
      </c>
      <c r="E132" s="117" t="s">
        <v>751</v>
      </c>
      <c r="F132" s="8" t="s">
        <v>13</v>
      </c>
      <c r="G132" s="12" t="s">
        <v>14</v>
      </c>
      <c r="H132" s="30"/>
    </row>
    <row r="133">
      <c r="A133" s="6">
        <v>132.0</v>
      </c>
      <c r="B133" s="8">
        <v>132.0</v>
      </c>
      <c r="C133" s="8" t="s">
        <v>322</v>
      </c>
      <c r="D133" s="8" t="s">
        <v>754</v>
      </c>
      <c r="E133" s="117" t="s">
        <v>755</v>
      </c>
      <c r="F133" s="8" t="s">
        <v>13</v>
      </c>
      <c r="G133" s="12" t="s">
        <v>14</v>
      </c>
      <c r="H133" s="30"/>
    </row>
    <row r="134">
      <c r="A134" s="6">
        <v>133.0</v>
      </c>
      <c r="B134" s="8">
        <v>133.0</v>
      </c>
      <c r="C134" s="69" t="s">
        <v>756</v>
      </c>
      <c r="D134" s="8" t="s">
        <v>757</v>
      </c>
      <c r="E134" s="69" t="s">
        <v>758</v>
      </c>
      <c r="F134" s="8" t="s">
        <v>13</v>
      </c>
      <c r="G134" s="12" t="s">
        <v>14</v>
      </c>
      <c r="H134" s="30"/>
    </row>
    <row r="135">
      <c r="A135" s="6">
        <v>134.0</v>
      </c>
      <c r="B135" s="8">
        <v>134.0</v>
      </c>
      <c r="C135" s="8" t="s">
        <v>761</v>
      </c>
      <c r="D135" s="8" t="s">
        <v>762</v>
      </c>
      <c r="E135" s="8" t="s">
        <v>763</v>
      </c>
      <c r="F135" s="8" t="s">
        <v>13</v>
      </c>
      <c r="G135" s="12" t="s">
        <v>14</v>
      </c>
      <c r="H135" s="30"/>
    </row>
    <row r="136">
      <c r="A136" s="6">
        <v>135.0</v>
      </c>
      <c r="B136" s="8">
        <v>135.0</v>
      </c>
      <c r="C136" s="8" t="s">
        <v>53</v>
      </c>
      <c r="D136" s="102" t="s">
        <v>766</v>
      </c>
      <c r="E136" s="8" t="s">
        <v>768</v>
      </c>
      <c r="F136" s="8" t="s">
        <v>13</v>
      </c>
      <c r="G136" s="12" t="s">
        <v>14</v>
      </c>
      <c r="H136" s="30"/>
    </row>
    <row r="137">
      <c r="A137" s="6">
        <v>136.0</v>
      </c>
      <c r="B137" s="8">
        <v>136.0</v>
      </c>
      <c r="C137" s="8" t="s">
        <v>502</v>
      </c>
      <c r="D137" s="8" t="s">
        <v>367</v>
      </c>
      <c r="E137" s="59">
        <v>46117.0</v>
      </c>
      <c r="F137" s="8" t="s">
        <v>13</v>
      </c>
      <c r="G137" s="12" t="s">
        <v>14</v>
      </c>
      <c r="H137" s="30"/>
    </row>
    <row r="138">
      <c r="A138" s="6">
        <v>137.0</v>
      </c>
      <c r="B138" s="8">
        <v>137.0</v>
      </c>
      <c r="C138" s="8" t="s">
        <v>769</v>
      </c>
      <c r="D138" s="8" t="s">
        <v>142</v>
      </c>
      <c r="E138" s="8" t="s">
        <v>770</v>
      </c>
      <c r="F138" s="8" t="s">
        <v>13</v>
      </c>
      <c r="G138" s="12" t="s">
        <v>14</v>
      </c>
      <c r="H138" s="30"/>
    </row>
    <row r="139">
      <c r="A139" s="6">
        <v>138.0</v>
      </c>
      <c r="B139" s="8">
        <v>138.0</v>
      </c>
      <c r="C139" s="8" t="s">
        <v>773</v>
      </c>
      <c r="D139" s="8" t="s">
        <v>774</v>
      </c>
      <c r="E139" s="59">
        <v>46117.0</v>
      </c>
      <c r="F139" s="8" t="s">
        <v>776</v>
      </c>
      <c r="G139" s="12"/>
      <c r="H139" s="30"/>
    </row>
    <row r="140">
      <c r="A140" s="6">
        <v>139.0</v>
      </c>
      <c r="B140" s="8">
        <v>139.0</v>
      </c>
      <c r="C140" s="8" t="s">
        <v>777</v>
      </c>
      <c r="D140" s="8" t="s">
        <v>779</v>
      </c>
      <c r="E140" s="121">
        <v>46131.0</v>
      </c>
      <c r="F140" s="8" t="s">
        <v>781</v>
      </c>
      <c r="G140" s="12" t="s">
        <v>33</v>
      </c>
      <c r="H140" s="30"/>
    </row>
    <row r="141">
      <c r="A141" s="6">
        <v>140.0</v>
      </c>
      <c r="B141" s="8">
        <v>140.0</v>
      </c>
      <c r="C141" s="8" t="s">
        <v>783</v>
      </c>
      <c r="D141" s="8" t="s">
        <v>785</v>
      </c>
      <c r="E141" s="59">
        <v>46124.0</v>
      </c>
      <c r="F141" s="8" t="s">
        <v>787</v>
      </c>
      <c r="G141" s="12" t="s">
        <v>33</v>
      </c>
      <c r="H141" s="30"/>
    </row>
    <row r="142">
      <c r="A142" s="6">
        <v>141.0</v>
      </c>
      <c r="B142" s="8">
        <v>141.0</v>
      </c>
      <c r="C142" s="60" t="s">
        <v>789</v>
      </c>
      <c r="D142" s="8" t="s">
        <v>791</v>
      </c>
      <c r="E142" s="59">
        <v>46124.0</v>
      </c>
      <c r="F142" s="8" t="s">
        <v>244</v>
      </c>
      <c r="G142" s="12" t="s">
        <v>14</v>
      </c>
      <c r="H142" s="30"/>
    </row>
    <row r="143">
      <c r="A143" s="6">
        <v>142.0</v>
      </c>
      <c r="B143" s="8">
        <v>142.0</v>
      </c>
      <c r="C143" s="8" t="s">
        <v>793</v>
      </c>
      <c r="D143" s="8" t="s">
        <v>794</v>
      </c>
      <c r="E143" s="122">
        <v>46131.0</v>
      </c>
      <c r="F143" s="8" t="s">
        <v>798</v>
      </c>
      <c r="G143" s="12" t="s">
        <v>31</v>
      </c>
      <c r="H143" s="30"/>
    </row>
    <row r="144">
      <c r="A144" s="6">
        <v>143.0</v>
      </c>
      <c r="B144" s="8">
        <v>143.0</v>
      </c>
      <c r="C144" s="8" t="s">
        <v>799</v>
      </c>
      <c r="D144" s="8" t="s">
        <v>800</v>
      </c>
      <c r="E144" s="123">
        <v>46121.0</v>
      </c>
      <c r="F144" s="8" t="s">
        <v>802</v>
      </c>
      <c r="G144" s="12" t="s">
        <v>31</v>
      </c>
      <c r="H144" s="30"/>
    </row>
    <row r="145">
      <c r="A145" s="6">
        <v>144.0</v>
      </c>
      <c r="B145" s="8">
        <v>144.0</v>
      </c>
      <c r="C145" s="8" t="s">
        <v>349</v>
      </c>
      <c r="D145" s="8" t="s">
        <v>804</v>
      </c>
      <c r="E145" s="53" t="s">
        <v>805</v>
      </c>
      <c r="F145" s="8" t="s">
        <v>244</v>
      </c>
      <c r="G145" s="12" t="s">
        <v>14</v>
      </c>
      <c r="H145" s="30"/>
    </row>
    <row r="146">
      <c r="A146" s="6">
        <v>145.0</v>
      </c>
      <c r="B146" s="8">
        <v>145.0</v>
      </c>
      <c r="C146" s="8" t="s">
        <v>808</v>
      </c>
      <c r="D146" s="8" t="s">
        <v>809</v>
      </c>
      <c r="E146" s="59">
        <v>46121.0</v>
      </c>
      <c r="F146" s="8" t="s">
        <v>810</v>
      </c>
      <c r="G146" s="12" t="s">
        <v>31</v>
      </c>
      <c r="H146" s="30"/>
    </row>
    <row r="147">
      <c r="A147" s="6">
        <v>146.0</v>
      </c>
      <c r="B147" s="8">
        <v>146.0</v>
      </c>
      <c r="C147" s="79" t="s">
        <v>182</v>
      </c>
      <c r="D147" s="8" t="s">
        <v>557</v>
      </c>
      <c r="E147" s="10" t="s">
        <v>813</v>
      </c>
      <c r="F147" s="8" t="s">
        <v>13</v>
      </c>
      <c r="G147" s="12" t="s">
        <v>14</v>
      </c>
      <c r="H147" s="30"/>
    </row>
    <row r="148">
      <c r="A148" s="6">
        <v>147.0</v>
      </c>
      <c r="B148" s="8">
        <v>147.0</v>
      </c>
      <c r="C148" s="117" t="s">
        <v>815</v>
      </c>
      <c r="D148" s="8" t="s">
        <v>816</v>
      </c>
      <c r="E148" s="88"/>
      <c r="F148" s="8" t="s">
        <v>818</v>
      </c>
      <c r="G148" s="12"/>
      <c r="H148" s="30"/>
    </row>
    <row r="149">
      <c r="A149" s="6">
        <v>148.0</v>
      </c>
      <c r="B149" s="8">
        <v>148.0</v>
      </c>
      <c r="C149" s="8" t="s">
        <v>821</v>
      </c>
      <c r="D149" s="8" t="s">
        <v>822</v>
      </c>
      <c r="E149" s="124"/>
      <c r="F149" s="8" t="s">
        <v>824</v>
      </c>
      <c r="G149" s="12" t="s">
        <v>31</v>
      </c>
      <c r="H149" s="30"/>
    </row>
    <row r="150">
      <c r="A150" s="6">
        <v>149.0</v>
      </c>
      <c r="B150" s="8">
        <v>149.0</v>
      </c>
      <c r="C150" s="89" t="s">
        <v>827</v>
      </c>
      <c r="D150" s="8" t="s">
        <v>828</v>
      </c>
      <c r="E150" s="103" t="s">
        <v>829</v>
      </c>
      <c r="F150" s="8" t="s">
        <v>13</v>
      </c>
      <c r="G150" s="12" t="s">
        <v>14</v>
      </c>
      <c r="H150" s="30"/>
    </row>
    <row r="151">
      <c r="A151" s="6">
        <v>150.0</v>
      </c>
      <c r="B151" s="8">
        <v>150.0</v>
      </c>
      <c r="C151" s="89" t="s">
        <v>106</v>
      </c>
      <c r="D151" s="8" t="s">
        <v>833</v>
      </c>
      <c r="E151" s="10" t="s">
        <v>834</v>
      </c>
      <c r="F151" s="8" t="s">
        <v>13</v>
      </c>
      <c r="G151" s="12" t="s">
        <v>14</v>
      </c>
      <c r="H151" s="30"/>
    </row>
    <row r="152" ht="24.75" customHeight="1">
      <c r="A152" s="6">
        <v>151.0</v>
      </c>
      <c r="B152" s="8">
        <v>151.0</v>
      </c>
      <c r="C152" s="112" t="s">
        <v>339</v>
      </c>
      <c r="D152" s="13" t="s">
        <v>836</v>
      </c>
      <c r="E152" s="8" t="s">
        <v>838</v>
      </c>
      <c r="F152" s="8" t="s">
        <v>13</v>
      </c>
      <c r="G152" s="12" t="s">
        <v>14</v>
      </c>
      <c r="H152" s="30"/>
    </row>
    <row r="153">
      <c r="A153" s="6">
        <v>152.0</v>
      </c>
      <c r="B153" s="8">
        <v>152.0</v>
      </c>
      <c r="C153" s="8" t="s">
        <v>840</v>
      </c>
      <c r="D153" s="8" t="s">
        <v>841</v>
      </c>
      <c r="E153" s="59">
        <v>46123.0</v>
      </c>
      <c r="F153" s="8" t="s">
        <v>151</v>
      </c>
      <c r="G153" s="12" t="s">
        <v>31</v>
      </c>
      <c r="H153" s="30"/>
    </row>
    <row r="154">
      <c r="A154" s="6">
        <v>153.0</v>
      </c>
      <c r="B154" s="8">
        <v>153.0</v>
      </c>
      <c r="C154" s="69" t="s">
        <v>844</v>
      </c>
      <c r="D154" s="8" t="s">
        <v>845</v>
      </c>
      <c r="E154" s="59">
        <v>46123.0</v>
      </c>
      <c r="F154" s="8" t="s">
        <v>151</v>
      </c>
      <c r="G154" s="12" t="s">
        <v>31</v>
      </c>
      <c r="H154" s="30"/>
    </row>
    <row r="155">
      <c r="A155" s="6">
        <v>154.0</v>
      </c>
      <c r="B155" s="8">
        <v>154.0</v>
      </c>
      <c r="C155" s="8" t="s">
        <v>847</v>
      </c>
      <c r="D155" s="8" t="s">
        <v>848</v>
      </c>
      <c r="E155" s="59">
        <v>46124.0</v>
      </c>
      <c r="F155" s="8" t="s">
        <v>151</v>
      </c>
      <c r="G155" s="12" t="s">
        <v>31</v>
      </c>
      <c r="H155" s="30"/>
    </row>
    <row r="156">
      <c r="A156" s="6">
        <v>155.0</v>
      </c>
      <c r="B156" s="8">
        <v>154.0</v>
      </c>
      <c r="C156" s="8" t="s">
        <v>851</v>
      </c>
      <c r="D156" s="8" t="s">
        <v>852</v>
      </c>
      <c r="E156" s="59">
        <v>46124.0</v>
      </c>
      <c r="F156" s="8" t="s">
        <v>151</v>
      </c>
      <c r="G156" s="12" t="s">
        <v>31</v>
      </c>
      <c r="H156" s="30"/>
    </row>
    <row r="157" ht="21.75" customHeight="1">
      <c r="A157" s="6">
        <v>156.0</v>
      </c>
      <c r="B157" s="8">
        <v>155.0</v>
      </c>
      <c r="C157" s="125" t="s">
        <v>855</v>
      </c>
      <c r="D157" s="8" t="s">
        <v>857</v>
      </c>
      <c r="E157" s="59">
        <v>46124.0</v>
      </c>
      <c r="F157" s="8" t="s">
        <v>151</v>
      </c>
      <c r="G157" s="12" t="s">
        <v>31</v>
      </c>
      <c r="H157" s="30"/>
    </row>
    <row r="158">
      <c r="A158" s="6">
        <v>157.0</v>
      </c>
      <c r="B158" s="8">
        <v>156.0</v>
      </c>
      <c r="C158" s="8" t="s">
        <v>859</v>
      </c>
      <c r="D158" s="8" t="s">
        <v>860</v>
      </c>
      <c r="E158" s="59">
        <v>46131.0</v>
      </c>
      <c r="F158" s="8" t="s">
        <v>151</v>
      </c>
      <c r="G158" s="12" t="s">
        <v>31</v>
      </c>
      <c r="H158" s="30"/>
    </row>
    <row r="159">
      <c r="A159" s="6">
        <v>158.0</v>
      </c>
      <c r="B159" s="8">
        <v>157.0</v>
      </c>
      <c r="C159" s="69" t="s">
        <v>861</v>
      </c>
      <c r="D159" s="8" t="s">
        <v>862</v>
      </c>
      <c r="E159" s="59">
        <v>46124.0</v>
      </c>
      <c r="F159" s="8" t="s">
        <v>151</v>
      </c>
      <c r="G159" s="12" t="s">
        <v>31</v>
      </c>
      <c r="H159" s="30"/>
    </row>
    <row r="160">
      <c r="A160" s="6">
        <v>159.0</v>
      </c>
      <c r="B160" s="8">
        <v>158.0</v>
      </c>
      <c r="C160" s="69" t="s">
        <v>864</v>
      </c>
      <c r="D160" s="8" t="s">
        <v>865</v>
      </c>
      <c r="E160" s="59">
        <v>46124.0</v>
      </c>
      <c r="F160" s="8" t="s">
        <v>151</v>
      </c>
      <c r="G160" s="12" t="s">
        <v>31</v>
      </c>
      <c r="H160" s="30"/>
    </row>
    <row r="161">
      <c r="A161" s="6">
        <v>160.0</v>
      </c>
      <c r="B161" s="8">
        <v>159.0</v>
      </c>
      <c r="C161" s="60" t="s">
        <v>866</v>
      </c>
      <c r="D161" s="8" t="s">
        <v>868</v>
      </c>
      <c r="E161" s="59">
        <v>46124.0</v>
      </c>
      <c r="F161" s="8" t="s">
        <v>151</v>
      </c>
      <c r="G161" s="12" t="s">
        <v>31</v>
      </c>
      <c r="H161" s="30"/>
    </row>
    <row r="162">
      <c r="A162" s="6">
        <v>161.0</v>
      </c>
      <c r="B162" s="8">
        <v>161.0</v>
      </c>
      <c r="C162" s="53" t="s">
        <v>869</v>
      </c>
      <c r="D162" s="8" t="s">
        <v>870</v>
      </c>
      <c r="E162" s="65">
        <v>46126.0</v>
      </c>
      <c r="F162" s="8" t="s">
        <v>112</v>
      </c>
      <c r="G162" s="12" t="s">
        <v>31</v>
      </c>
      <c r="H162" s="30"/>
    </row>
    <row r="163">
      <c r="A163" s="6">
        <v>162.0</v>
      </c>
      <c r="B163" s="8">
        <v>162.0</v>
      </c>
      <c r="C163" s="53" t="s">
        <v>872</v>
      </c>
      <c r="D163" s="8" t="s">
        <v>873</v>
      </c>
      <c r="E163" s="65">
        <v>46127.0</v>
      </c>
      <c r="F163" s="8" t="s">
        <v>874</v>
      </c>
      <c r="G163" s="12" t="s">
        <v>33</v>
      </c>
      <c r="H163" s="30"/>
    </row>
    <row r="164">
      <c r="A164" s="6">
        <v>163.0</v>
      </c>
      <c r="B164" s="8">
        <v>163.0</v>
      </c>
      <c r="C164" s="8" t="s">
        <v>875</v>
      </c>
      <c r="D164" s="8" t="s">
        <v>876</v>
      </c>
      <c r="E164" s="65">
        <v>46129.0</v>
      </c>
      <c r="F164" s="8" t="s">
        <v>878</v>
      </c>
      <c r="G164" s="12" t="s">
        <v>31</v>
      </c>
      <c r="H164" s="30"/>
    </row>
    <row r="165">
      <c r="A165" s="6">
        <v>164.0</v>
      </c>
      <c r="B165" s="8">
        <v>164.0</v>
      </c>
      <c r="C165" s="8" t="s">
        <v>879</v>
      </c>
      <c r="D165" s="8" t="s">
        <v>880</v>
      </c>
      <c r="E165" s="59">
        <v>46130.0</v>
      </c>
      <c r="F165" s="8" t="s">
        <v>881</v>
      </c>
      <c r="G165" s="12" t="s">
        <v>31</v>
      </c>
      <c r="H165" s="30"/>
    </row>
    <row r="166">
      <c r="A166" s="6">
        <v>165.0</v>
      </c>
      <c r="B166" s="8">
        <v>165.0</v>
      </c>
      <c r="C166" s="8" t="s">
        <v>882</v>
      </c>
      <c r="D166" s="8" t="s">
        <v>884</v>
      </c>
      <c r="E166" s="96" t="s">
        <v>885</v>
      </c>
      <c r="F166" s="8" t="s">
        <v>13</v>
      </c>
      <c r="G166" s="12" t="s">
        <v>14</v>
      </c>
      <c r="H166" s="30"/>
    </row>
    <row r="167">
      <c r="A167" s="6">
        <v>166.0</v>
      </c>
      <c r="B167" s="8">
        <v>166.0</v>
      </c>
      <c r="C167" s="8" t="s">
        <v>886</v>
      </c>
      <c r="D167" s="8" t="s">
        <v>887</v>
      </c>
      <c r="E167" s="59">
        <v>46131.0</v>
      </c>
      <c r="F167" s="8" t="s">
        <v>888</v>
      </c>
      <c r="G167" s="12" t="s">
        <v>33</v>
      </c>
      <c r="H167" s="30"/>
    </row>
    <row r="168">
      <c r="A168" s="6">
        <v>167.0</v>
      </c>
      <c r="B168" s="8">
        <v>167.0</v>
      </c>
      <c r="C168" s="69" t="s">
        <v>890</v>
      </c>
      <c r="D168" s="8" t="s">
        <v>891</v>
      </c>
      <c r="E168" s="59">
        <v>46130.0</v>
      </c>
      <c r="F168" s="8" t="s">
        <v>336</v>
      </c>
      <c r="G168" s="12" t="s">
        <v>31</v>
      </c>
      <c r="H168" s="30"/>
    </row>
    <row r="169">
      <c r="A169" s="6">
        <v>168.0</v>
      </c>
      <c r="B169" s="8">
        <v>168.0</v>
      </c>
      <c r="C169" s="8" t="s">
        <v>892</v>
      </c>
      <c r="D169" s="8" t="s">
        <v>893</v>
      </c>
      <c r="E169" s="59">
        <v>46131.0</v>
      </c>
      <c r="F169" s="8" t="s">
        <v>895</v>
      </c>
      <c r="G169" s="12" t="s">
        <v>33</v>
      </c>
      <c r="H169" s="30"/>
    </row>
    <row r="170">
      <c r="A170" s="6">
        <v>169.0</v>
      </c>
      <c r="B170" s="8">
        <v>169.0</v>
      </c>
      <c r="C170" s="8" t="s">
        <v>349</v>
      </c>
      <c r="D170" s="8" t="s">
        <v>897</v>
      </c>
      <c r="E170" s="118" t="s">
        <v>898</v>
      </c>
      <c r="F170" s="8" t="s">
        <v>13</v>
      </c>
      <c r="G170" s="12" t="s">
        <v>14</v>
      </c>
      <c r="H170" s="30"/>
    </row>
    <row r="171">
      <c r="A171" s="6">
        <v>170.0</v>
      </c>
      <c r="B171" s="8">
        <v>170.0</v>
      </c>
      <c r="C171" s="126" t="s">
        <v>901</v>
      </c>
      <c r="D171" s="8" t="s">
        <v>902</v>
      </c>
      <c r="E171" s="127">
        <v>46138.0</v>
      </c>
      <c r="F171" s="8" t="s">
        <v>906</v>
      </c>
      <c r="G171" s="12" t="s">
        <v>31</v>
      </c>
      <c r="H171" s="30"/>
    </row>
    <row r="172">
      <c r="A172" s="6">
        <v>171.0</v>
      </c>
      <c r="B172" s="8">
        <v>171.0</v>
      </c>
      <c r="C172" s="69" t="s">
        <v>909</v>
      </c>
      <c r="D172" s="8" t="s">
        <v>910</v>
      </c>
      <c r="E172" s="127">
        <v>46134.0</v>
      </c>
      <c r="F172" s="8" t="s">
        <v>912</v>
      </c>
      <c r="G172" s="12" t="s">
        <v>31</v>
      </c>
      <c r="H172" s="30"/>
    </row>
    <row r="173">
      <c r="A173" s="6">
        <v>172.0</v>
      </c>
      <c r="B173" s="8">
        <v>172.0</v>
      </c>
      <c r="C173" s="8" t="s">
        <v>913</v>
      </c>
      <c r="D173" s="8" t="s">
        <v>914</v>
      </c>
      <c r="E173" s="127">
        <v>46134.0</v>
      </c>
      <c r="F173" s="8" t="s">
        <v>679</v>
      </c>
      <c r="G173" s="12" t="s">
        <v>31</v>
      </c>
      <c r="H173" s="30"/>
    </row>
    <row r="174">
      <c r="A174" s="6">
        <v>173.0</v>
      </c>
      <c r="B174" s="8">
        <v>173.0</v>
      </c>
      <c r="C174" s="116" t="s">
        <v>307</v>
      </c>
      <c r="D174" s="8" t="s">
        <v>918</v>
      </c>
      <c r="E174" s="118" t="s">
        <v>919</v>
      </c>
      <c r="F174" s="8" t="s">
        <v>13</v>
      </c>
      <c r="G174" s="12" t="s">
        <v>14</v>
      </c>
      <c r="H174" s="30"/>
    </row>
    <row r="175">
      <c r="A175" s="6">
        <v>174.0</v>
      </c>
      <c r="B175" s="8">
        <v>174.0</v>
      </c>
      <c r="C175" s="128" t="s">
        <v>922</v>
      </c>
      <c r="D175" s="8" t="s">
        <v>924</v>
      </c>
      <c r="E175" s="129">
        <v>46143.0</v>
      </c>
      <c r="F175" s="8" t="s">
        <v>926</v>
      </c>
      <c r="G175" s="12" t="s">
        <v>31</v>
      </c>
      <c r="H175" s="30"/>
    </row>
    <row r="176">
      <c r="A176" s="6">
        <v>175.0</v>
      </c>
      <c r="B176" s="8">
        <v>175.0</v>
      </c>
      <c r="C176" s="130" t="s">
        <v>929</v>
      </c>
      <c r="D176" s="8" t="s">
        <v>930</v>
      </c>
      <c r="E176" s="127">
        <v>46138.0</v>
      </c>
      <c r="F176" s="8" t="s">
        <v>931</v>
      </c>
      <c r="G176" s="12" t="s">
        <v>31</v>
      </c>
      <c r="H176" s="30"/>
    </row>
    <row r="177">
      <c r="A177" s="6">
        <v>176.0</v>
      </c>
      <c r="B177" s="8">
        <v>176.0</v>
      </c>
      <c r="C177" s="118" t="s">
        <v>933</v>
      </c>
      <c r="D177" s="8" t="s">
        <v>934</v>
      </c>
      <c r="E177" s="127">
        <v>46144.0</v>
      </c>
      <c r="F177" s="8" t="s">
        <v>935</v>
      </c>
      <c r="G177" s="12" t="s">
        <v>31</v>
      </c>
      <c r="H177" s="30"/>
    </row>
    <row r="178">
      <c r="A178" s="6">
        <v>177.0</v>
      </c>
      <c r="B178" s="8">
        <v>177.0</v>
      </c>
      <c r="C178" s="69" t="s">
        <v>936</v>
      </c>
      <c r="D178" s="8" t="s">
        <v>937</v>
      </c>
      <c r="E178" s="59">
        <v>46135.0</v>
      </c>
      <c r="F178" s="8" t="s">
        <v>940</v>
      </c>
      <c r="G178" s="12" t="s">
        <v>31</v>
      </c>
      <c r="H178" s="30"/>
    </row>
    <row r="179">
      <c r="A179" s="6">
        <v>178.0</v>
      </c>
      <c r="B179" s="8">
        <v>178.0</v>
      </c>
      <c r="C179" s="8" t="s">
        <v>942</v>
      </c>
      <c r="D179" s="8" t="s">
        <v>943</v>
      </c>
      <c r="E179" s="59">
        <v>46138.0</v>
      </c>
      <c r="F179" s="8" t="s">
        <v>180</v>
      </c>
      <c r="G179" s="12" t="s">
        <v>31</v>
      </c>
      <c r="H179" s="30"/>
    </row>
    <row r="180">
      <c r="A180" s="6">
        <v>179.0</v>
      </c>
      <c r="B180" s="8">
        <v>179.0</v>
      </c>
      <c r="C180" s="8" t="s">
        <v>946</v>
      </c>
      <c r="D180" s="8" t="s">
        <v>947</v>
      </c>
      <c r="E180" s="59">
        <v>46137.0</v>
      </c>
      <c r="F180" s="8" t="s">
        <v>949</v>
      </c>
      <c r="G180" s="12" t="s">
        <v>31</v>
      </c>
      <c r="H180" s="30"/>
    </row>
    <row r="181">
      <c r="A181" s="6">
        <v>180.0</v>
      </c>
      <c r="B181" s="8">
        <v>180.0</v>
      </c>
      <c r="C181" s="8" t="s">
        <v>950</v>
      </c>
      <c r="D181" s="8" t="s">
        <v>952</v>
      </c>
      <c r="E181" s="8" t="s">
        <v>954</v>
      </c>
      <c r="F181" s="8" t="s">
        <v>955</v>
      </c>
      <c r="G181" s="12" t="s">
        <v>31</v>
      </c>
      <c r="H181" s="30"/>
    </row>
    <row r="182">
      <c r="A182" s="6">
        <v>181.0</v>
      </c>
      <c r="B182" s="8">
        <v>181.0</v>
      </c>
      <c r="C182" s="8" t="s">
        <v>956</v>
      </c>
      <c r="D182" s="8" t="s">
        <v>723</v>
      </c>
      <c r="E182" s="59">
        <v>46138.0</v>
      </c>
      <c r="F182" s="8" t="s">
        <v>957</v>
      </c>
      <c r="G182" s="12" t="s">
        <v>14</v>
      </c>
      <c r="H182" s="30"/>
    </row>
    <row r="183">
      <c r="A183" s="6">
        <v>182.0</v>
      </c>
      <c r="B183" s="8">
        <v>182.0</v>
      </c>
      <c r="C183" s="8" t="s">
        <v>960</v>
      </c>
      <c r="D183" s="8" t="s">
        <v>962</v>
      </c>
      <c r="E183" s="59">
        <v>46137.0</v>
      </c>
      <c r="F183" s="8" t="s">
        <v>963</v>
      </c>
      <c r="G183" s="12" t="s">
        <v>31</v>
      </c>
      <c r="H183" s="30"/>
    </row>
    <row r="184">
      <c r="A184" s="6">
        <v>183.0</v>
      </c>
      <c r="B184" s="8">
        <v>183.0</v>
      </c>
      <c r="C184" s="8" t="s">
        <v>964</v>
      </c>
      <c r="D184" s="8" t="s">
        <v>965</v>
      </c>
      <c r="E184" s="59">
        <v>46138.0</v>
      </c>
      <c r="F184" s="8" t="s">
        <v>968</v>
      </c>
      <c r="G184" s="12" t="s">
        <v>31</v>
      </c>
      <c r="H184" s="30"/>
    </row>
    <row r="185">
      <c r="A185" s="6">
        <v>184.0</v>
      </c>
      <c r="B185" s="8">
        <v>184.0</v>
      </c>
      <c r="C185" s="8" t="s">
        <v>970</v>
      </c>
      <c r="D185" s="8" t="s">
        <v>971</v>
      </c>
      <c r="E185" s="59">
        <v>46138.0</v>
      </c>
      <c r="F185" s="8" t="s">
        <v>972</v>
      </c>
      <c r="G185" s="12" t="s">
        <v>31</v>
      </c>
      <c r="H185" s="30"/>
    </row>
    <row r="186">
      <c r="A186" s="6">
        <v>185.0</v>
      </c>
      <c r="B186" s="8">
        <v>185.0</v>
      </c>
      <c r="C186" s="131" t="s">
        <v>970</v>
      </c>
      <c r="D186" s="8" t="s">
        <v>975</v>
      </c>
      <c r="E186" s="59">
        <v>46138.0</v>
      </c>
      <c r="F186" s="8" t="s">
        <v>896</v>
      </c>
      <c r="G186" s="12" t="s">
        <v>31</v>
      </c>
      <c r="H186" s="30"/>
    </row>
    <row r="187">
      <c r="A187" s="6">
        <v>186.0</v>
      </c>
      <c r="B187" s="132">
        <v>186.0</v>
      </c>
      <c r="C187" s="133" t="s">
        <v>980</v>
      </c>
      <c r="D187" s="134" t="s">
        <v>983</v>
      </c>
      <c r="E187" s="135">
        <v>46145.0</v>
      </c>
      <c r="F187" s="8" t="s">
        <v>987</v>
      </c>
      <c r="G187" s="12" t="s">
        <v>31</v>
      </c>
      <c r="H187" s="30"/>
    </row>
    <row r="188">
      <c r="A188" s="6">
        <v>187.0</v>
      </c>
      <c r="B188" s="132">
        <v>187.0</v>
      </c>
      <c r="C188" s="133" t="s">
        <v>988</v>
      </c>
      <c r="D188" s="134" t="s">
        <v>990</v>
      </c>
      <c r="E188" s="117" t="s">
        <v>992</v>
      </c>
      <c r="F188" s="8" t="s">
        <v>13</v>
      </c>
      <c r="G188" s="12" t="s">
        <v>14</v>
      </c>
      <c r="H188" s="30"/>
    </row>
    <row r="189">
      <c r="A189" s="6">
        <v>188.0</v>
      </c>
      <c r="B189" s="132">
        <v>188.0</v>
      </c>
      <c r="C189" s="136" t="s">
        <v>211</v>
      </c>
      <c r="D189" s="134" t="s">
        <v>996</v>
      </c>
      <c r="E189" s="79" t="s">
        <v>997</v>
      </c>
      <c r="F189" s="8" t="s">
        <v>13</v>
      </c>
      <c r="G189" s="12" t="s">
        <v>14</v>
      </c>
      <c r="H189" s="30"/>
    </row>
    <row r="190">
      <c r="A190" s="6">
        <v>189.0</v>
      </c>
      <c r="B190" s="132">
        <v>189.0</v>
      </c>
      <c r="C190" s="137" t="s">
        <v>469</v>
      </c>
      <c r="D190" s="134" t="s">
        <v>585</v>
      </c>
      <c r="E190" s="79" t="s">
        <v>1001</v>
      </c>
      <c r="F190" s="8" t="s">
        <v>13</v>
      </c>
      <c r="G190" s="12" t="s">
        <v>14</v>
      </c>
      <c r="H190" s="30"/>
    </row>
    <row r="191">
      <c r="A191" s="6">
        <v>190.0</v>
      </c>
      <c r="B191" s="132">
        <v>190.0</v>
      </c>
      <c r="C191" s="138" t="s">
        <v>1002</v>
      </c>
      <c r="D191" s="134" t="s">
        <v>1004</v>
      </c>
      <c r="E191" s="59">
        <v>46140.0</v>
      </c>
      <c r="F191" s="8" t="s">
        <v>1005</v>
      </c>
      <c r="G191" s="12" t="s">
        <v>14</v>
      </c>
      <c r="H191" s="30"/>
    </row>
    <row r="192">
      <c r="A192" s="6">
        <v>191.0</v>
      </c>
      <c r="B192" s="132">
        <v>191.0</v>
      </c>
      <c r="C192" s="139" t="s">
        <v>1007</v>
      </c>
      <c r="D192" s="134" t="s">
        <v>1009</v>
      </c>
      <c r="E192" s="127">
        <v>46145.0</v>
      </c>
      <c r="F192" s="8" t="s">
        <v>731</v>
      </c>
      <c r="G192" s="12" t="s">
        <v>31</v>
      </c>
      <c r="H192" s="30"/>
    </row>
    <row r="193">
      <c r="A193" s="6">
        <v>192.0</v>
      </c>
      <c r="B193" s="132">
        <v>192.0</v>
      </c>
      <c r="C193" s="139" t="s">
        <v>106</v>
      </c>
      <c r="D193" s="134" t="s">
        <v>1011</v>
      </c>
      <c r="E193" s="118" t="s">
        <v>1013</v>
      </c>
      <c r="F193" s="8" t="s">
        <v>13</v>
      </c>
      <c r="G193" s="12" t="s">
        <v>14</v>
      </c>
      <c r="H193" s="30"/>
    </row>
    <row r="194">
      <c r="A194" s="6">
        <v>193.0</v>
      </c>
      <c r="B194" s="132">
        <v>193.0</v>
      </c>
      <c r="C194" s="137" t="s">
        <v>187</v>
      </c>
      <c r="D194" s="134" t="s">
        <v>1015</v>
      </c>
      <c r="E194" s="69" t="s">
        <v>1017</v>
      </c>
      <c r="F194" s="8" t="s">
        <v>13</v>
      </c>
      <c r="G194" s="12" t="s">
        <v>33</v>
      </c>
      <c r="H194" s="30"/>
    </row>
    <row r="195">
      <c r="A195" s="6">
        <v>194.0</v>
      </c>
      <c r="B195" s="8">
        <v>194.0</v>
      </c>
      <c r="C195" s="116" t="s">
        <v>1019</v>
      </c>
      <c r="D195" s="8" t="s">
        <v>1020</v>
      </c>
      <c r="E195" s="140">
        <v>46143.0</v>
      </c>
      <c r="F195" s="8" t="s">
        <v>968</v>
      </c>
      <c r="G195" s="12" t="s">
        <v>31</v>
      </c>
      <c r="H195" s="30"/>
    </row>
    <row r="196">
      <c r="A196" s="6">
        <v>195.0</v>
      </c>
      <c r="B196" s="8">
        <v>195.0</v>
      </c>
      <c r="C196" s="118" t="s">
        <v>1024</v>
      </c>
      <c r="D196" s="8" t="s">
        <v>1025</v>
      </c>
      <c r="E196" s="69" t="s">
        <v>1026</v>
      </c>
      <c r="F196" s="8" t="s">
        <v>13</v>
      </c>
      <c r="G196" s="12" t="s">
        <v>31</v>
      </c>
      <c r="H196" s="30"/>
    </row>
    <row r="197">
      <c r="A197" s="6">
        <v>196.0</v>
      </c>
      <c r="B197" s="8">
        <v>196.0</v>
      </c>
      <c r="C197" s="69" t="s">
        <v>1029</v>
      </c>
      <c r="D197" s="8" t="s">
        <v>1030</v>
      </c>
      <c r="E197" s="69" t="s">
        <v>1031</v>
      </c>
      <c r="F197" s="8" t="s">
        <v>13</v>
      </c>
      <c r="G197" s="12" t="s">
        <v>33</v>
      </c>
      <c r="H197" s="30"/>
    </row>
    <row r="198">
      <c r="A198" s="6">
        <v>197.0</v>
      </c>
      <c r="B198" s="8">
        <v>197.0</v>
      </c>
      <c r="C198" s="8" t="s">
        <v>1032</v>
      </c>
      <c r="D198" s="8" t="s">
        <v>1033</v>
      </c>
      <c r="E198" s="8" t="s">
        <v>1034</v>
      </c>
      <c r="F198" s="8" t="s">
        <v>13</v>
      </c>
      <c r="G198" s="12" t="s">
        <v>14</v>
      </c>
      <c r="H198" s="30"/>
    </row>
    <row r="199">
      <c r="A199" s="6">
        <v>198.0</v>
      </c>
      <c r="B199" s="8">
        <v>198.0</v>
      </c>
      <c r="C199" s="69" t="s">
        <v>584</v>
      </c>
      <c r="D199" s="8" t="s">
        <v>1036</v>
      </c>
      <c r="E199" s="142" t="s">
        <v>1038</v>
      </c>
      <c r="F199" s="8" t="s">
        <v>13</v>
      </c>
      <c r="G199" s="12" t="s">
        <v>33</v>
      </c>
      <c r="H199" s="30"/>
    </row>
    <row r="200">
      <c r="A200" s="6">
        <v>199.0</v>
      </c>
      <c r="B200" s="8">
        <v>199.0</v>
      </c>
      <c r="C200" s="8" t="s">
        <v>1043</v>
      </c>
      <c r="D200" s="8" t="s">
        <v>1044</v>
      </c>
      <c r="E200" s="143">
        <v>46145.0</v>
      </c>
      <c r="F200" s="8" t="s">
        <v>1047</v>
      </c>
      <c r="G200" s="12" t="s">
        <v>33</v>
      </c>
      <c r="H200" s="30"/>
    </row>
    <row r="201">
      <c r="A201" s="6">
        <v>200.0</v>
      </c>
      <c r="B201" s="8">
        <v>200.0</v>
      </c>
      <c r="C201" s="89" t="s">
        <v>1049</v>
      </c>
      <c r="D201" s="8" t="s">
        <v>1050</v>
      </c>
      <c r="E201" s="8" t="s">
        <v>1052</v>
      </c>
      <c r="F201" s="8" t="s">
        <v>13</v>
      </c>
      <c r="G201" s="12" t="s">
        <v>14</v>
      </c>
      <c r="H201" s="30"/>
    </row>
    <row r="202">
      <c r="A202" s="6">
        <v>201.0</v>
      </c>
      <c r="B202" s="8">
        <v>201.0</v>
      </c>
      <c r="C202" s="8" t="s">
        <v>1055</v>
      </c>
      <c r="D202" s="8" t="s">
        <v>1057</v>
      </c>
      <c r="E202" s="59">
        <v>46145.0</v>
      </c>
      <c r="F202" s="8" t="s">
        <v>1060</v>
      </c>
      <c r="G202" s="12" t="s">
        <v>31</v>
      </c>
      <c r="H202" s="30"/>
    </row>
    <row r="203">
      <c r="A203" s="6">
        <v>202.0</v>
      </c>
      <c r="B203" s="8">
        <v>202.0</v>
      </c>
      <c r="C203" s="8" t="s">
        <v>1062</v>
      </c>
      <c r="D203" s="8" t="s">
        <v>1064</v>
      </c>
      <c r="E203" s="59">
        <v>46145.0</v>
      </c>
      <c r="F203" s="8" t="s">
        <v>1066</v>
      </c>
      <c r="G203" s="12" t="s">
        <v>33</v>
      </c>
      <c r="H203" s="30"/>
    </row>
    <row r="204">
      <c r="A204" s="6">
        <v>203.0</v>
      </c>
      <c r="B204" s="8">
        <v>203.0</v>
      </c>
      <c r="C204" s="8" t="s">
        <v>1070</v>
      </c>
      <c r="D204" s="8" t="s">
        <v>1071</v>
      </c>
      <c r="E204" s="59">
        <v>46158.0</v>
      </c>
      <c r="F204" s="8" t="s">
        <v>1072</v>
      </c>
      <c r="G204" s="12" t="s">
        <v>33</v>
      </c>
      <c r="H204" s="30"/>
    </row>
    <row r="205">
      <c r="A205" s="6">
        <v>204.0</v>
      </c>
      <c r="B205" s="8">
        <v>204.0</v>
      </c>
      <c r="C205" s="8" t="s">
        <v>1073</v>
      </c>
      <c r="D205" s="8" t="s">
        <v>1074</v>
      </c>
      <c r="E205" s="144">
        <v>46150.0</v>
      </c>
      <c r="F205" s="8" t="s">
        <v>1077</v>
      </c>
      <c r="G205" s="12" t="s">
        <v>31</v>
      </c>
      <c r="H205" s="30"/>
    </row>
    <row r="206">
      <c r="A206" s="6">
        <v>205.0</v>
      </c>
      <c r="B206" s="8">
        <v>205.0</v>
      </c>
      <c r="C206" s="8" t="s">
        <v>1081</v>
      </c>
      <c r="D206" s="8" t="s">
        <v>1082</v>
      </c>
      <c r="E206" s="59">
        <v>46151.0</v>
      </c>
      <c r="F206" s="8" t="s">
        <v>1083</v>
      </c>
      <c r="G206" s="12"/>
      <c r="H206" s="30"/>
    </row>
    <row r="207">
      <c r="A207" s="6">
        <v>206.0</v>
      </c>
      <c r="B207" s="8">
        <v>206.0</v>
      </c>
      <c r="C207" s="8" t="s">
        <v>1085</v>
      </c>
      <c r="D207" s="8" t="s">
        <v>1086</v>
      </c>
      <c r="E207" s="145" t="s">
        <v>1087</v>
      </c>
      <c r="F207" s="8" t="s">
        <v>13</v>
      </c>
      <c r="G207" s="12" t="s">
        <v>14</v>
      </c>
      <c r="H207" s="30"/>
    </row>
    <row r="208">
      <c r="A208" s="6">
        <v>208.0</v>
      </c>
      <c r="B208" s="8">
        <v>208.0</v>
      </c>
      <c r="C208" s="8" t="s">
        <v>106</v>
      </c>
      <c r="D208" s="8" t="s">
        <v>1092</v>
      </c>
      <c r="E208" s="8" t="s">
        <v>1087</v>
      </c>
      <c r="F208" s="8" t="s">
        <v>13</v>
      </c>
      <c r="G208" s="12" t="s">
        <v>14</v>
      </c>
      <c r="H208" s="30"/>
    </row>
    <row r="209">
      <c r="A209" s="6">
        <v>209.0</v>
      </c>
      <c r="B209" s="8">
        <v>209.0</v>
      </c>
      <c r="C209" s="89" t="s">
        <v>1095</v>
      </c>
      <c r="D209" s="8" t="s">
        <v>1097</v>
      </c>
      <c r="E209" s="59">
        <v>46151.0</v>
      </c>
      <c r="F209" s="8" t="s">
        <v>1100</v>
      </c>
      <c r="G209" s="12"/>
      <c r="H209" s="30"/>
    </row>
    <row r="210">
      <c r="A210" s="6">
        <v>210.0</v>
      </c>
      <c r="B210" s="8">
        <v>210.0</v>
      </c>
      <c r="C210" s="75" t="s">
        <v>1101</v>
      </c>
      <c r="D210" s="8" t="s">
        <v>1102</v>
      </c>
      <c r="E210" s="59">
        <v>46152.0</v>
      </c>
      <c r="F210" s="8" t="s">
        <v>13</v>
      </c>
      <c r="G210" s="12" t="s">
        <v>33</v>
      </c>
      <c r="H210" s="30"/>
    </row>
    <row r="211">
      <c r="A211" s="6">
        <v>211.0</v>
      </c>
      <c r="B211" s="8">
        <v>211.0</v>
      </c>
      <c r="C211" s="72" t="s">
        <v>1106</v>
      </c>
      <c r="D211" s="8" t="s">
        <v>1108</v>
      </c>
      <c r="E211" s="69" t="s">
        <v>1109</v>
      </c>
      <c r="F211" s="8" t="s">
        <v>13</v>
      </c>
      <c r="G211" s="12" t="s">
        <v>33</v>
      </c>
      <c r="H211" s="30"/>
    </row>
    <row r="212">
      <c r="A212" s="6">
        <v>212.0</v>
      </c>
      <c r="B212" s="8">
        <v>212.0</v>
      </c>
      <c r="C212" s="89" t="s">
        <v>1112</v>
      </c>
      <c r="D212" s="8" t="s">
        <v>1113</v>
      </c>
      <c r="E212" s="79" t="s">
        <v>1115</v>
      </c>
      <c r="F212" s="8" t="s">
        <v>13</v>
      </c>
      <c r="G212" s="12" t="s">
        <v>14</v>
      </c>
      <c r="H212" s="30"/>
    </row>
    <row r="213">
      <c r="A213" s="6">
        <v>213.0</v>
      </c>
      <c r="B213" s="8">
        <v>213.0</v>
      </c>
      <c r="C213" s="69" t="s">
        <v>1119</v>
      </c>
      <c r="D213" s="8" t="s">
        <v>1121</v>
      </c>
      <c r="E213" s="8" t="s">
        <v>1122</v>
      </c>
      <c r="F213" s="8" t="s">
        <v>13</v>
      </c>
      <c r="G213" s="12" t="s">
        <v>14</v>
      </c>
      <c r="H213" s="30"/>
    </row>
    <row r="214">
      <c r="A214" s="6">
        <v>214.0</v>
      </c>
      <c r="B214" s="8">
        <v>214.0</v>
      </c>
      <c r="C214" s="8" t="s">
        <v>1124</v>
      </c>
      <c r="D214" s="8" t="s">
        <v>1125</v>
      </c>
      <c r="E214" s="59">
        <v>46162.0</v>
      </c>
      <c r="F214" s="8" t="s">
        <v>1100</v>
      </c>
      <c r="G214" s="12"/>
      <c r="H214" s="30"/>
    </row>
    <row r="215">
      <c r="A215" s="6">
        <v>215.0</v>
      </c>
      <c r="B215" s="8">
        <v>215.0</v>
      </c>
      <c r="C215" s="89" t="s">
        <v>1127</v>
      </c>
      <c r="D215" s="8" t="s">
        <v>1129</v>
      </c>
      <c r="E215" s="146">
        <v>46156.0</v>
      </c>
      <c r="F215" s="8" t="s">
        <v>1133</v>
      </c>
      <c r="G215" s="12" t="s">
        <v>14</v>
      </c>
      <c r="H215" s="30"/>
    </row>
    <row r="216">
      <c r="A216" s="6">
        <v>216.0</v>
      </c>
      <c r="B216" s="8">
        <v>216.0</v>
      </c>
      <c r="C216" s="8" t="s">
        <v>1134</v>
      </c>
      <c r="D216" s="8" t="s">
        <v>1135</v>
      </c>
      <c r="E216" s="69" t="s">
        <v>1136</v>
      </c>
      <c r="F216" s="8" t="s">
        <v>13</v>
      </c>
      <c r="G216" s="12" t="s">
        <v>33</v>
      </c>
      <c r="H216" s="30"/>
    </row>
    <row r="217">
      <c r="A217" s="6">
        <v>217.0</v>
      </c>
      <c r="B217" s="8">
        <v>217.0</v>
      </c>
      <c r="C217" s="8" t="s">
        <v>106</v>
      </c>
      <c r="D217" s="8" t="s">
        <v>1139</v>
      </c>
      <c r="E217" s="117" t="s">
        <v>1141</v>
      </c>
      <c r="F217" s="8" t="s">
        <v>13</v>
      </c>
      <c r="G217" s="12" t="s">
        <v>14</v>
      </c>
      <c r="H217" s="30"/>
    </row>
    <row r="218">
      <c r="A218" s="6">
        <v>218.0</v>
      </c>
      <c r="B218" s="8">
        <v>218.0</v>
      </c>
      <c r="C218" s="83" t="s">
        <v>1144</v>
      </c>
      <c r="D218" s="8" t="s">
        <v>1145</v>
      </c>
      <c r="E218" s="117" t="s">
        <v>1146</v>
      </c>
      <c r="F218" s="8" t="s">
        <v>13</v>
      </c>
      <c r="G218" s="12" t="s">
        <v>14</v>
      </c>
      <c r="H218" s="30"/>
    </row>
    <row r="219">
      <c r="A219" s="6">
        <v>219.0</v>
      </c>
      <c r="B219" s="8">
        <v>219.0</v>
      </c>
      <c r="C219" s="8" t="s">
        <v>1150</v>
      </c>
      <c r="D219" s="8" t="s">
        <v>1151</v>
      </c>
      <c r="E219" s="147">
        <v>46162.0</v>
      </c>
      <c r="F219" s="8" t="s">
        <v>1153</v>
      </c>
      <c r="G219" s="12" t="s">
        <v>31</v>
      </c>
      <c r="H219" s="30"/>
    </row>
    <row r="220">
      <c r="A220" s="6">
        <v>220.0</v>
      </c>
      <c r="B220" s="8">
        <v>220.0</v>
      </c>
      <c r="C220" s="69" t="s">
        <v>1154</v>
      </c>
      <c r="D220" s="8" t="s">
        <v>1156</v>
      </c>
      <c r="E220" s="148">
        <v>46156.0</v>
      </c>
      <c r="F220" s="8" t="s">
        <v>1159</v>
      </c>
      <c r="G220" s="12" t="s">
        <v>31</v>
      </c>
      <c r="H220" s="30"/>
    </row>
    <row r="221">
      <c r="A221" s="6">
        <v>221.0</v>
      </c>
      <c r="B221" s="8">
        <v>221.0</v>
      </c>
      <c r="C221" s="8" t="s">
        <v>667</v>
      </c>
      <c r="D221" s="8" t="s">
        <v>1163</v>
      </c>
      <c r="E221" s="8" t="s">
        <v>1164</v>
      </c>
      <c r="F221" s="8" t="s">
        <v>13</v>
      </c>
      <c r="G221" s="12" t="s">
        <v>14</v>
      </c>
      <c r="H221" s="30"/>
    </row>
    <row r="222">
      <c r="A222" s="6">
        <v>222.0</v>
      </c>
      <c r="B222" s="8">
        <v>222.0</v>
      </c>
      <c r="C222" s="8" t="s">
        <v>1165</v>
      </c>
      <c r="D222" s="8" t="s">
        <v>1167</v>
      </c>
      <c r="E222" s="59">
        <v>46158.0</v>
      </c>
      <c r="F222" s="8" t="s">
        <v>151</v>
      </c>
      <c r="G222" s="12" t="s">
        <v>33</v>
      </c>
      <c r="H222" s="30"/>
    </row>
    <row r="223">
      <c r="A223" s="6">
        <v>223.0</v>
      </c>
      <c r="B223" s="8">
        <v>223.0</v>
      </c>
      <c r="C223" s="8" t="s">
        <v>1170</v>
      </c>
      <c r="D223" s="8" t="s">
        <v>1171</v>
      </c>
      <c r="E223" s="59">
        <v>46157.0</v>
      </c>
      <c r="F223" s="8" t="s">
        <v>151</v>
      </c>
      <c r="G223" s="12"/>
      <c r="H223" s="30"/>
    </row>
    <row r="224">
      <c r="A224" s="6">
        <v>224.0</v>
      </c>
      <c r="B224" s="8">
        <v>224.0</v>
      </c>
      <c r="C224" s="8" t="s">
        <v>1174</v>
      </c>
      <c r="D224" s="8" t="s">
        <v>1175</v>
      </c>
      <c r="E224" s="59">
        <v>46157.0</v>
      </c>
      <c r="F224" s="8" t="s">
        <v>151</v>
      </c>
      <c r="G224" s="12"/>
      <c r="H224" s="30"/>
    </row>
    <row r="225">
      <c r="A225" s="6">
        <v>225.0</v>
      </c>
      <c r="B225" s="8">
        <v>225.0</v>
      </c>
      <c r="C225" s="8" t="s">
        <v>1177</v>
      </c>
      <c r="D225" s="8" t="s">
        <v>687</v>
      </c>
      <c r="E225" s="59">
        <v>46158.0</v>
      </c>
      <c r="F225" s="8" t="s">
        <v>13</v>
      </c>
      <c r="G225" s="12" t="s">
        <v>14</v>
      </c>
      <c r="H225" s="30"/>
    </row>
    <row r="226">
      <c r="A226" s="6">
        <v>226.0</v>
      </c>
      <c r="B226" s="8">
        <v>226.0</v>
      </c>
      <c r="C226" s="8" t="s">
        <v>1177</v>
      </c>
      <c r="D226" s="8" t="s">
        <v>1180</v>
      </c>
      <c r="E226" s="69" t="s">
        <v>1181</v>
      </c>
      <c r="F226" s="8" t="s">
        <v>13</v>
      </c>
      <c r="G226" s="12" t="s">
        <v>14</v>
      </c>
      <c r="H226" s="30"/>
    </row>
    <row r="227">
      <c r="A227" s="6">
        <v>227.0</v>
      </c>
      <c r="B227" s="8">
        <v>227.0</v>
      </c>
      <c r="C227" s="8" t="s">
        <v>1183</v>
      </c>
      <c r="D227" s="8" t="s">
        <v>1184</v>
      </c>
      <c r="E227" s="59">
        <v>46158.0</v>
      </c>
      <c r="F227" s="8" t="s">
        <v>1185</v>
      </c>
      <c r="G227" s="12" t="s">
        <v>31</v>
      </c>
      <c r="H227" s="30"/>
    </row>
    <row r="228">
      <c r="A228" s="6">
        <v>228.0</v>
      </c>
      <c r="B228" s="8">
        <v>228.0</v>
      </c>
      <c r="C228" s="69" t="s">
        <v>1187</v>
      </c>
      <c r="D228" s="8" t="s">
        <v>1189</v>
      </c>
      <c r="E228" s="59">
        <v>46162.0</v>
      </c>
      <c r="F228" s="8" t="s">
        <v>1047</v>
      </c>
      <c r="G228" s="12" t="s">
        <v>33</v>
      </c>
      <c r="H228" s="30"/>
    </row>
    <row r="229">
      <c r="A229" s="6">
        <v>229.0</v>
      </c>
      <c r="B229" s="8">
        <v>229.0</v>
      </c>
      <c r="C229" s="8" t="s">
        <v>1191</v>
      </c>
      <c r="D229" s="8" t="s">
        <v>1193</v>
      </c>
      <c r="E229" s="59">
        <v>46187.0</v>
      </c>
      <c r="F229" s="8" t="s">
        <v>1047</v>
      </c>
      <c r="G229" s="12" t="s">
        <v>33</v>
      </c>
      <c r="H229" s="30"/>
    </row>
    <row r="230">
      <c r="A230" s="6">
        <v>230.0</v>
      </c>
      <c r="B230" s="8">
        <v>230.0</v>
      </c>
      <c r="C230" s="69" t="s">
        <v>1196</v>
      </c>
      <c r="D230" s="8" t="s">
        <v>1197</v>
      </c>
      <c r="E230" s="149" t="s">
        <v>1198</v>
      </c>
      <c r="F230" s="8" t="s">
        <v>1133</v>
      </c>
      <c r="G230" s="12" t="s">
        <v>31</v>
      </c>
      <c r="H230" s="30"/>
    </row>
    <row r="231">
      <c r="A231" s="6">
        <v>231.0</v>
      </c>
      <c r="B231" s="8">
        <v>231.0</v>
      </c>
      <c r="C231" s="8" t="s">
        <v>1202</v>
      </c>
      <c r="D231" s="8" t="s">
        <v>1203</v>
      </c>
      <c r="E231" s="59">
        <v>46166.0</v>
      </c>
      <c r="F231" s="8" t="s">
        <v>1204</v>
      </c>
      <c r="G231" s="12" t="s">
        <v>31</v>
      </c>
      <c r="H231" s="30"/>
    </row>
    <row r="232">
      <c r="A232" s="6">
        <v>232.0</v>
      </c>
      <c r="B232" s="8">
        <v>232.0</v>
      </c>
      <c r="C232" s="8" t="s">
        <v>1205</v>
      </c>
      <c r="D232" s="8" t="s">
        <v>1206</v>
      </c>
      <c r="E232" s="59">
        <v>46165.0</v>
      </c>
      <c r="F232" s="8" t="s">
        <v>151</v>
      </c>
      <c r="G232" s="12" t="s">
        <v>33</v>
      </c>
      <c r="H232" s="30"/>
    </row>
    <row r="233">
      <c r="A233" s="6">
        <v>233.0</v>
      </c>
      <c r="B233" s="8">
        <v>233.0</v>
      </c>
      <c r="C233" s="8" t="s">
        <v>1205</v>
      </c>
      <c r="D233" s="8" t="s">
        <v>1206</v>
      </c>
      <c r="E233" s="59">
        <v>46166.0</v>
      </c>
      <c r="F233" s="8" t="s">
        <v>151</v>
      </c>
      <c r="G233" s="12" t="s">
        <v>33</v>
      </c>
      <c r="H233" s="30"/>
    </row>
    <row r="234">
      <c r="A234" s="6">
        <v>234.0</v>
      </c>
      <c r="B234" s="8">
        <v>234.0</v>
      </c>
      <c r="C234" s="8" t="s">
        <v>1214</v>
      </c>
      <c r="D234" s="8" t="s">
        <v>1216</v>
      </c>
      <c r="E234" s="121">
        <v>46184.0</v>
      </c>
      <c r="F234" s="8" t="s">
        <v>896</v>
      </c>
      <c r="G234" s="12" t="s">
        <v>33</v>
      </c>
      <c r="H234" s="30"/>
    </row>
    <row r="235">
      <c r="A235" s="6">
        <v>235.0</v>
      </c>
      <c r="B235" s="8">
        <v>235.0</v>
      </c>
      <c r="C235" s="8" t="s">
        <v>1217</v>
      </c>
      <c r="D235" s="8" t="s">
        <v>1218</v>
      </c>
      <c r="E235" s="8" t="s">
        <v>1219</v>
      </c>
      <c r="F235" s="8" t="s">
        <v>13</v>
      </c>
      <c r="G235" s="12" t="s">
        <v>14</v>
      </c>
      <c r="H235" s="30"/>
    </row>
    <row r="236">
      <c r="A236" s="6">
        <v>236.0</v>
      </c>
      <c r="B236" s="8">
        <v>236.0</v>
      </c>
      <c r="C236" s="69" t="s">
        <v>1221</v>
      </c>
      <c r="D236" s="8" t="s">
        <v>1222</v>
      </c>
      <c r="E236" s="69" t="s">
        <v>1223</v>
      </c>
      <c r="F236" s="8" t="s">
        <v>13</v>
      </c>
      <c r="G236" s="12" t="s">
        <v>33</v>
      </c>
      <c r="H236" s="30"/>
    </row>
    <row r="237">
      <c r="A237" s="6">
        <v>237.0</v>
      </c>
      <c r="B237" s="8">
        <v>237.0</v>
      </c>
      <c r="C237" s="69" t="s">
        <v>488</v>
      </c>
      <c r="D237" s="8" t="s">
        <v>1226</v>
      </c>
      <c r="E237" s="69" t="s">
        <v>1227</v>
      </c>
      <c r="F237" s="8" t="s">
        <v>13</v>
      </c>
      <c r="G237" s="12" t="s">
        <v>33</v>
      </c>
      <c r="H237" s="30"/>
    </row>
    <row r="238">
      <c r="A238" s="6">
        <v>238.0</v>
      </c>
      <c r="B238" s="8">
        <v>238.0</v>
      </c>
      <c r="C238" s="117" t="s">
        <v>339</v>
      </c>
      <c r="D238" s="47"/>
      <c r="E238" s="117" t="s">
        <v>1229</v>
      </c>
      <c r="F238" s="8" t="s">
        <v>13</v>
      </c>
      <c r="G238" s="12" t="s">
        <v>14</v>
      </c>
      <c r="H238" s="30"/>
    </row>
    <row r="239">
      <c r="A239" s="6">
        <v>239.0</v>
      </c>
      <c r="B239" s="8">
        <v>239.0</v>
      </c>
      <c r="C239" s="8" t="s">
        <v>1214</v>
      </c>
      <c r="D239" s="8" t="s">
        <v>1232</v>
      </c>
      <c r="E239" s="88">
        <v>46183.0</v>
      </c>
      <c r="F239" s="8" t="s">
        <v>896</v>
      </c>
      <c r="G239" s="12" t="s">
        <v>31</v>
      </c>
      <c r="H239" s="30"/>
    </row>
    <row r="240">
      <c r="A240" s="6">
        <v>240.0</v>
      </c>
      <c r="B240" s="8">
        <v>240.0</v>
      </c>
      <c r="C240" s="8" t="s">
        <v>1235</v>
      </c>
      <c r="D240" s="8" t="s">
        <v>1236</v>
      </c>
      <c r="E240" s="8" t="s">
        <v>1237</v>
      </c>
      <c r="F240" s="8" t="s">
        <v>13</v>
      </c>
      <c r="G240" s="12" t="s">
        <v>14</v>
      </c>
      <c r="H240" s="30"/>
    </row>
    <row r="241">
      <c r="A241" s="6">
        <v>241.0</v>
      </c>
      <c r="B241" s="8">
        <v>241.0</v>
      </c>
      <c r="C241" s="8" t="s">
        <v>106</v>
      </c>
      <c r="D241" s="8" t="s">
        <v>1139</v>
      </c>
      <c r="E241" s="113" t="s">
        <v>1238</v>
      </c>
      <c r="F241" s="8" t="s">
        <v>13</v>
      </c>
      <c r="G241" s="12" t="s">
        <v>14</v>
      </c>
      <c r="H241" s="30"/>
    </row>
    <row r="242">
      <c r="A242" s="6">
        <v>242.0</v>
      </c>
      <c r="B242" s="8">
        <v>242.0</v>
      </c>
      <c r="C242" s="8" t="s">
        <v>1239</v>
      </c>
      <c r="D242" s="8" t="s">
        <v>1240</v>
      </c>
      <c r="E242" s="59">
        <v>46165.0</v>
      </c>
      <c r="F242" s="8" t="s">
        <v>151</v>
      </c>
      <c r="G242" s="12"/>
      <c r="H242" s="30"/>
    </row>
    <row r="243">
      <c r="A243" s="6">
        <v>243.0</v>
      </c>
      <c r="B243" s="8">
        <v>243.0</v>
      </c>
      <c r="C243" s="8" t="s">
        <v>1241</v>
      </c>
      <c r="D243" s="8" t="s">
        <v>1242</v>
      </c>
      <c r="E243" s="145" t="s">
        <v>1243</v>
      </c>
      <c r="F243" s="8" t="s">
        <v>1244</v>
      </c>
      <c r="G243" s="12" t="s">
        <v>14</v>
      </c>
      <c r="H243" s="30"/>
    </row>
    <row r="244">
      <c r="A244" s="6">
        <v>244.0</v>
      </c>
      <c r="B244" s="8">
        <v>244.0</v>
      </c>
      <c r="C244" s="8" t="s">
        <v>1245</v>
      </c>
      <c r="D244" s="8" t="s">
        <v>1246</v>
      </c>
      <c r="E244" s="150">
        <v>46176.0</v>
      </c>
      <c r="F244" s="8" t="s">
        <v>144</v>
      </c>
      <c r="G244" s="12" t="s">
        <v>31</v>
      </c>
      <c r="H244" s="30"/>
    </row>
    <row r="245">
      <c r="A245" s="6">
        <v>245.0</v>
      </c>
      <c r="B245" s="8">
        <v>245.0</v>
      </c>
      <c r="C245" s="8" t="s">
        <v>1247</v>
      </c>
      <c r="D245" s="8" t="s">
        <v>1248</v>
      </c>
      <c r="E245" s="59">
        <v>46169.0</v>
      </c>
      <c r="F245" s="8" t="s">
        <v>85</v>
      </c>
      <c r="G245" s="12" t="s">
        <v>31</v>
      </c>
      <c r="H245" s="30"/>
    </row>
    <row r="246">
      <c r="A246" s="6">
        <v>246.0</v>
      </c>
      <c r="B246" s="8">
        <v>246.0</v>
      </c>
      <c r="C246" s="8" t="s">
        <v>761</v>
      </c>
      <c r="D246" s="8" t="s">
        <v>392</v>
      </c>
      <c r="E246" s="8" t="s">
        <v>1249</v>
      </c>
      <c r="F246" s="8" t="s">
        <v>13</v>
      </c>
      <c r="G246" s="12" t="s">
        <v>14</v>
      </c>
      <c r="H246" s="30"/>
    </row>
    <row r="247">
      <c r="A247" s="6">
        <v>247.0</v>
      </c>
      <c r="B247" s="8">
        <v>247.0</v>
      </c>
      <c r="C247" s="8" t="s">
        <v>1250</v>
      </c>
      <c r="D247" s="8" t="s">
        <v>1251</v>
      </c>
      <c r="E247" s="59">
        <v>46168.0</v>
      </c>
      <c r="F247" s="8" t="s">
        <v>157</v>
      </c>
      <c r="G247" s="12"/>
      <c r="H247" s="30"/>
    </row>
    <row r="248">
      <c r="A248" s="6">
        <v>248.0</v>
      </c>
      <c r="B248" s="8">
        <v>248.0</v>
      </c>
      <c r="C248" s="8" t="s">
        <v>1252</v>
      </c>
      <c r="D248" s="8" t="s">
        <v>1253</v>
      </c>
      <c r="E248" s="8" t="s">
        <v>1254</v>
      </c>
      <c r="F248" s="8" t="s">
        <v>1255</v>
      </c>
      <c r="G248" s="12" t="s">
        <v>14</v>
      </c>
      <c r="H248" s="30"/>
    </row>
    <row r="249">
      <c r="A249" s="6">
        <v>249.0</v>
      </c>
      <c r="B249" s="8">
        <v>249.0</v>
      </c>
      <c r="C249" s="83" t="s">
        <v>1256</v>
      </c>
      <c r="D249" s="8" t="s">
        <v>633</v>
      </c>
      <c r="E249" s="8" t="s">
        <v>1257</v>
      </c>
      <c r="F249" s="8" t="s">
        <v>1255</v>
      </c>
      <c r="G249" s="12" t="s">
        <v>14</v>
      </c>
      <c r="H249" s="30"/>
    </row>
    <row r="250">
      <c r="A250" s="6">
        <v>250.0</v>
      </c>
      <c r="B250" s="8">
        <v>250.0</v>
      </c>
      <c r="C250" s="8" t="s">
        <v>1258</v>
      </c>
      <c r="D250" s="8" t="s">
        <v>1259</v>
      </c>
      <c r="E250" s="59">
        <v>46169.0</v>
      </c>
      <c r="F250" s="8" t="s">
        <v>818</v>
      </c>
      <c r="G250" s="12" t="s">
        <v>31</v>
      </c>
      <c r="H250" s="30"/>
    </row>
    <row r="251">
      <c r="A251" s="6">
        <v>251.0</v>
      </c>
      <c r="B251" s="8">
        <v>251.0</v>
      </c>
      <c r="C251" s="69" t="s">
        <v>1260</v>
      </c>
      <c r="D251" s="8" t="s">
        <v>1261</v>
      </c>
      <c r="E251" s="59">
        <v>46169.0</v>
      </c>
      <c r="F251" s="8" t="s">
        <v>13</v>
      </c>
      <c r="G251" s="12" t="s">
        <v>33</v>
      </c>
      <c r="H251" s="30"/>
    </row>
    <row r="252">
      <c r="A252" s="6">
        <v>252.0</v>
      </c>
      <c r="B252" s="8">
        <v>252.0</v>
      </c>
      <c r="C252" s="8" t="s">
        <v>1252</v>
      </c>
      <c r="D252" s="8" t="s">
        <v>1139</v>
      </c>
      <c r="E252" s="59">
        <v>46174.0</v>
      </c>
      <c r="F252" s="8" t="s">
        <v>13</v>
      </c>
      <c r="G252" s="12" t="s">
        <v>14</v>
      </c>
      <c r="H252" s="30"/>
    </row>
    <row r="253">
      <c r="A253" s="6">
        <v>253.0</v>
      </c>
      <c r="B253" s="8">
        <v>253.0</v>
      </c>
      <c r="C253" s="69" t="s">
        <v>1262</v>
      </c>
      <c r="D253" s="8" t="s">
        <v>1263</v>
      </c>
      <c r="E253" s="59">
        <v>46170.0</v>
      </c>
      <c r="F253" s="8" t="s">
        <v>13</v>
      </c>
      <c r="G253" s="12" t="s">
        <v>33</v>
      </c>
      <c r="H253" s="30"/>
    </row>
    <row r="254">
      <c r="A254" s="6">
        <v>254.0</v>
      </c>
      <c r="B254" s="8">
        <v>254.0</v>
      </c>
      <c r="C254" s="69" t="s">
        <v>1264</v>
      </c>
      <c r="D254" s="8" t="s">
        <v>1236</v>
      </c>
      <c r="E254" s="8"/>
      <c r="F254" s="8" t="s">
        <v>13</v>
      </c>
      <c r="G254" s="12" t="s">
        <v>33</v>
      </c>
      <c r="H254" s="30"/>
    </row>
    <row r="255">
      <c r="A255" s="6">
        <v>255.0</v>
      </c>
      <c r="B255" s="8">
        <v>255.0</v>
      </c>
      <c r="C255" s="8" t="s">
        <v>745</v>
      </c>
      <c r="D255" s="8" t="s">
        <v>1265</v>
      </c>
      <c r="E255" s="8" t="s">
        <v>1266</v>
      </c>
      <c r="F255" s="8" t="s">
        <v>13</v>
      </c>
      <c r="G255" s="12" t="s">
        <v>14</v>
      </c>
      <c r="H255" s="30"/>
    </row>
    <row r="256">
      <c r="A256" s="6">
        <v>256.0</v>
      </c>
      <c r="B256" s="8">
        <v>256.0</v>
      </c>
      <c r="C256" s="8" t="s">
        <v>1267</v>
      </c>
      <c r="D256" s="8" t="s">
        <v>1268</v>
      </c>
      <c r="E256" s="59">
        <v>46173.0</v>
      </c>
      <c r="F256" s="8" t="s">
        <v>896</v>
      </c>
      <c r="G256" s="12" t="s">
        <v>31</v>
      </c>
      <c r="H256" s="30"/>
    </row>
    <row r="257">
      <c r="A257" s="6">
        <v>257.0</v>
      </c>
      <c r="B257" s="8">
        <v>257.0</v>
      </c>
      <c r="C257" s="145" t="s">
        <v>1269</v>
      </c>
      <c r="D257" s="8" t="s">
        <v>1270</v>
      </c>
      <c r="E257" s="59">
        <v>46174.0</v>
      </c>
      <c r="F257" s="8" t="s">
        <v>1271</v>
      </c>
      <c r="G257" s="12" t="s">
        <v>31</v>
      </c>
      <c r="H257" s="30"/>
    </row>
    <row r="258">
      <c r="A258" s="6">
        <v>258.0</v>
      </c>
      <c r="B258" s="8">
        <v>258.0</v>
      </c>
      <c r="C258" s="151" t="s">
        <v>1272</v>
      </c>
      <c r="D258" s="8" t="s">
        <v>1273</v>
      </c>
      <c r="E258" s="59">
        <v>46172.0</v>
      </c>
      <c r="F258" s="8" t="s">
        <v>1274</v>
      </c>
      <c r="G258" s="12" t="s">
        <v>31</v>
      </c>
      <c r="H258" s="30"/>
    </row>
    <row r="259">
      <c r="A259" s="6">
        <v>259.0</v>
      </c>
      <c r="B259" s="8">
        <v>259.0</v>
      </c>
      <c r="C259" s="8" t="s">
        <v>1119</v>
      </c>
      <c r="D259" s="8" t="s">
        <v>1275</v>
      </c>
      <c r="E259" s="8" t="s">
        <v>1276</v>
      </c>
      <c r="F259" s="8" t="s">
        <v>13</v>
      </c>
      <c r="G259" s="12" t="s">
        <v>14</v>
      </c>
      <c r="H259" s="30"/>
    </row>
    <row r="260">
      <c r="A260" s="6">
        <v>260.0</v>
      </c>
      <c r="B260" s="8">
        <v>260.0</v>
      </c>
      <c r="C260" s="8" t="s">
        <v>1277</v>
      </c>
      <c r="D260" s="8" t="s">
        <v>1278</v>
      </c>
      <c r="E260" s="8" t="s">
        <v>1279</v>
      </c>
      <c r="F260" s="8" t="s">
        <v>13</v>
      </c>
      <c r="G260" s="12" t="s">
        <v>14</v>
      </c>
      <c r="H260" s="30"/>
    </row>
    <row r="261">
      <c r="A261" s="6">
        <v>261.0</v>
      </c>
      <c r="B261" s="8">
        <v>261.0</v>
      </c>
      <c r="C261" s="8" t="s">
        <v>1280</v>
      </c>
      <c r="D261" s="8" t="s">
        <v>687</v>
      </c>
      <c r="E261" s="59">
        <v>46172.0</v>
      </c>
      <c r="F261" s="8" t="s">
        <v>13</v>
      </c>
      <c r="G261" s="12" t="s">
        <v>14</v>
      </c>
      <c r="H261" s="30"/>
    </row>
    <row r="262">
      <c r="A262" s="6">
        <v>262.0</v>
      </c>
      <c r="B262" s="8">
        <v>262.0</v>
      </c>
      <c r="C262" s="8" t="s">
        <v>1281</v>
      </c>
      <c r="D262" s="8" t="s">
        <v>1282</v>
      </c>
      <c r="E262" s="8" t="s">
        <v>1283</v>
      </c>
      <c r="F262" s="8" t="s">
        <v>13</v>
      </c>
      <c r="G262" s="12" t="s">
        <v>14</v>
      </c>
      <c r="H262" s="30"/>
    </row>
    <row r="263">
      <c r="A263" s="6">
        <v>263.0</v>
      </c>
      <c r="B263" s="8">
        <v>263.0</v>
      </c>
      <c r="C263" s="8" t="s">
        <v>1032</v>
      </c>
      <c r="D263" s="8" t="s">
        <v>1284</v>
      </c>
      <c r="E263" s="8" t="s">
        <v>1285</v>
      </c>
      <c r="F263" s="8" t="s">
        <v>13</v>
      </c>
      <c r="G263" s="12" t="s">
        <v>14</v>
      </c>
      <c r="H263" s="30"/>
    </row>
    <row r="264">
      <c r="A264" s="6">
        <v>264.0</v>
      </c>
      <c r="B264" s="8">
        <v>264.0</v>
      </c>
      <c r="C264" s="8" t="s">
        <v>469</v>
      </c>
      <c r="D264" s="8" t="s">
        <v>1286</v>
      </c>
      <c r="E264" s="8" t="s">
        <v>1287</v>
      </c>
      <c r="F264" s="8" t="s">
        <v>13</v>
      </c>
      <c r="G264" s="12" t="s">
        <v>14</v>
      </c>
      <c r="H264" s="30"/>
    </row>
    <row r="265">
      <c r="A265" s="6">
        <v>265.0</v>
      </c>
      <c r="B265" s="8">
        <v>265.0</v>
      </c>
      <c r="C265" s="8" t="s">
        <v>1288</v>
      </c>
      <c r="D265" s="8" t="s">
        <v>1289</v>
      </c>
      <c r="E265" s="8" t="s">
        <v>1287</v>
      </c>
      <c r="F265" s="8" t="s">
        <v>13</v>
      </c>
      <c r="G265" s="12" t="s">
        <v>14</v>
      </c>
      <c r="H265" s="30"/>
    </row>
    <row r="266">
      <c r="A266" s="6">
        <v>266.0</v>
      </c>
      <c r="B266" s="8">
        <v>266.0</v>
      </c>
      <c r="C266" s="8" t="s">
        <v>1290</v>
      </c>
      <c r="D266" s="8" t="s">
        <v>1291</v>
      </c>
      <c r="E266" s="76" t="s">
        <v>1292</v>
      </c>
      <c r="F266" s="8" t="s">
        <v>13</v>
      </c>
      <c r="G266" s="12" t="s">
        <v>14</v>
      </c>
      <c r="H266" s="30"/>
    </row>
    <row r="267">
      <c r="A267" s="6">
        <v>267.0</v>
      </c>
      <c r="B267" s="8">
        <v>267.0</v>
      </c>
      <c r="C267" s="8" t="s">
        <v>1293</v>
      </c>
      <c r="D267" s="8" t="s">
        <v>1294</v>
      </c>
      <c r="E267" s="69" t="s">
        <v>1295</v>
      </c>
      <c r="F267" s="8" t="s">
        <v>13</v>
      </c>
      <c r="G267" s="12" t="s">
        <v>14</v>
      </c>
      <c r="H267" s="30"/>
    </row>
    <row r="268">
      <c r="A268" s="6">
        <v>268.0</v>
      </c>
      <c r="B268" s="8">
        <v>268.0</v>
      </c>
      <c r="C268" s="8" t="s">
        <v>531</v>
      </c>
      <c r="D268" s="8" t="s">
        <v>1296</v>
      </c>
      <c r="E268" s="118" t="s">
        <v>1297</v>
      </c>
      <c r="F268" s="8" t="s">
        <v>13</v>
      </c>
      <c r="G268" s="12" t="s">
        <v>14</v>
      </c>
      <c r="H268" s="30"/>
    </row>
    <row r="269">
      <c r="A269" s="6">
        <v>269.0</v>
      </c>
      <c r="B269" s="8">
        <v>269.0</v>
      </c>
      <c r="C269" s="8" t="s">
        <v>1298</v>
      </c>
      <c r="D269" s="8" t="s">
        <v>1299</v>
      </c>
      <c r="E269" s="118" t="s">
        <v>1300</v>
      </c>
      <c r="F269" s="8" t="s">
        <v>13</v>
      </c>
      <c r="G269" s="12" t="s">
        <v>14</v>
      </c>
      <c r="H269" s="30"/>
    </row>
    <row r="270">
      <c r="A270" s="6">
        <v>270.0</v>
      </c>
      <c r="B270" s="8">
        <v>270.0</v>
      </c>
      <c r="C270" s="8" t="s">
        <v>1301</v>
      </c>
      <c r="D270" s="8" t="s">
        <v>687</v>
      </c>
      <c r="E270" s="127">
        <v>46174.0</v>
      </c>
      <c r="F270" s="8" t="s">
        <v>13</v>
      </c>
      <c r="G270" s="12" t="s">
        <v>14</v>
      </c>
      <c r="H270" s="30"/>
    </row>
    <row r="271">
      <c r="A271" s="6">
        <v>271.0</v>
      </c>
      <c r="B271" s="8">
        <v>271.0</v>
      </c>
      <c r="C271" s="8" t="s">
        <v>1302</v>
      </c>
      <c r="D271" s="8" t="s">
        <v>1303</v>
      </c>
      <c r="E271" s="127">
        <v>46174.0</v>
      </c>
      <c r="F271" s="8" t="s">
        <v>144</v>
      </c>
      <c r="G271" s="12" t="s">
        <v>33</v>
      </c>
      <c r="H271" s="30"/>
    </row>
    <row r="272">
      <c r="A272" s="6">
        <v>272.0</v>
      </c>
      <c r="B272" s="8">
        <v>272.0</v>
      </c>
      <c r="C272" s="69" t="s">
        <v>1304</v>
      </c>
      <c r="D272" s="8" t="s">
        <v>1305</v>
      </c>
      <c r="E272" s="127">
        <v>46174.0</v>
      </c>
      <c r="F272" s="8" t="s">
        <v>144</v>
      </c>
      <c r="G272" s="12" t="s">
        <v>33</v>
      </c>
      <c r="H272" s="30"/>
    </row>
    <row r="273">
      <c r="A273" s="6">
        <v>273.0</v>
      </c>
      <c r="B273" s="8">
        <v>273.0</v>
      </c>
      <c r="C273" s="69" t="s">
        <v>1306</v>
      </c>
      <c r="D273" s="8" t="s">
        <v>1307</v>
      </c>
      <c r="E273" s="127">
        <v>46174.0</v>
      </c>
      <c r="F273" s="8" t="s">
        <v>144</v>
      </c>
      <c r="G273" s="12" t="s">
        <v>31</v>
      </c>
      <c r="H273" s="30"/>
    </row>
    <row r="274">
      <c r="A274" s="6">
        <v>274.0</v>
      </c>
      <c r="B274" s="8">
        <v>274.0</v>
      </c>
      <c r="C274" s="8" t="s">
        <v>1308</v>
      </c>
      <c r="D274" s="8" t="s">
        <v>1309</v>
      </c>
      <c r="E274" s="127">
        <v>46174.0</v>
      </c>
      <c r="F274" s="8" t="s">
        <v>144</v>
      </c>
      <c r="G274" s="12" t="s">
        <v>31</v>
      </c>
      <c r="H274" s="30"/>
    </row>
    <row r="275">
      <c r="A275" s="6">
        <v>275.0</v>
      </c>
      <c r="B275" s="8">
        <v>275.0</v>
      </c>
      <c r="C275" s="69" t="s">
        <v>1306</v>
      </c>
      <c r="D275" s="8" t="s">
        <v>1310</v>
      </c>
      <c r="E275" s="127">
        <v>46174.0</v>
      </c>
      <c r="F275" s="8" t="s">
        <v>144</v>
      </c>
      <c r="G275" s="12" t="s">
        <v>31</v>
      </c>
      <c r="H275" s="30"/>
    </row>
    <row r="276">
      <c r="A276" s="6">
        <v>276.0</v>
      </c>
      <c r="B276" s="8">
        <v>276.0</v>
      </c>
      <c r="C276" s="8" t="s">
        <v>1311</v>
      </c>
      <c r="D276" s="8" t="s">
        <v>1312</v>
      </c>
      <c r="E276" s="59">
        <v>46174.0</v>
      </c>
      <c r="F276" s="8" t="s">
        <v>144</v>
      </c>
      <c r="G276" s="12" t="s">
        <v>31</v>
      </c>
      <c r="H276" s="30"/>
    </row>
    <row r="277">
      <c r="A277" s="6">
        <v>277.0</v>
      </c>
      <c r="B277" s="8">
        <v>277.0</v>
      </c>
      <c r="C277" s="8" t="s">
        <v>1313</v>
      </c>
      <c r="D277" s="8" t="s">
        <v>1314</v>
      </c>
      <c r="E277" s="59">
        <v>46177.0</v>
      </c>
      <c r="F277" s="8" t="s">
        <v>1315</v>
      </c>
      <c r="G277" s="12" t="s">
        <v>31</v>
      </c>
      <c r="H277" s="30"/>
    </row>
    <row r="278">
      <c r="A278" s="6">
        <v>278.0</v>
      </c>
      <c r="B278" s="8">
        <v>278.0</v>
      </c>
      <c r="C278" s="8" t="s">
        <v>1316</v>
      </c>
      <c r="D278" s="8" t="s">
        <v>1222</v>
      </c>
      <c r="E278" s="8" t="s">
        <v>1317</v>
      </c>
      <c r="F278" s="8" t="s">
        <v>13</v>
      </c>
      <c r="G278" s="12" t="s">
        <v>14</v>
      </c>
      <c r="H278" s="30"/>
    </row>
    <row r="279">
      <c r="A279" s="6">
        <v>279.0</v>
      </c>
      <c r="B279" s="8">
        <v>279.0</v>
      </c>
      <c r="C279" s="98" t="s">
        <v>1318</v>
      </c>
      <c r="D279" s="8" t="s">
        <v>1319</v>
      </c>
      <c r="E279" s="8" t="s">
        <v>1320</v>
      </c>
      <c r="F279" s="8" t="s">
        <v>13</v>
      </c>
      <c r="G279" s="12" t="s">
        <v>14</v>
      </c>
      <c r="H279" s="30"/>
    </row>
    <row r="280">
      <c r="A280" s="6">
        <v>280.0</v>
      </c>
      <c r="B280" s="8">
        <v>280.0</v>
      </c>
      <c r="C280" s="69" t="s">
        <v>1321</v>
      </c>
      <c r="D280" s="8" t="s">
        <v>1322</v>
      </c>
      <c r="E280" s="59">
        <v>46182.0</v>
      </c>
      <c r="F280" s="8" t="s">
        <v>896</v>
      </c>
      <c r="G280" s="12" t="s">
        <v>33</v>
      </c>
      <c r="H280" s="30"/>
    </row>
    <row r="281">
      <c r="A281" s="6">
        <v>281.0</v>
      </c>
      <c r="B281" s="8">
        <v>281.0</v>
      </c>
      <c r="C281" s="8" t="s">
        <v>1323</v>
      </c>
      <c r="D281" s="8" t="s">
        <v>1324</v>
      </c>
      <c r="E281" s="8" t="s">
        <v>1317</v>
      </c>
      <c r="F281" s="8" t="s">
        <v>13</v>
      </c>
      <c r="G281" s="12" t="s">
        <v>14</v>
      </c>
      <c r="H281" s="30"/>
    </row>
    <row r="282">
      <c r="A282" s="6">
        <v>282.0</v>
      </c>
      <c r="B282" s="8">
        <v>282.0</v>
      </c>
      <c r="C282" s="8" t="s">
        <v>1325</v>
      </c>
      <c r="D282" s="8" t="s">
        <v>1326</v>
      </c>
      <c r="E282" s="59">
        <v>46179.0</v>
      </c>
      <c r="F282" s="8" t="s">
        <v>13</v>
      </c>
      <c r="G282" s="12" t="s">
        <v>31</v>
      </c>
      <c r="H282" s="30"/>
    </row>
    <row r="283">
      <c r="A283" s="6">
        <v>283.0</v>
      </c>
      <c r="B283" s="8">
        <v>283.0</v>
      </c>
      <c r="C283" s="8" t="s">
        <v>1327</v>
      </c>
      <c r="D283" s="8" t="s">
        <v>1328</v>
      </c>
      <c r="E283" s="59">
        <v>46180.0</v>
      </c>
      <c r="F283" s="8" t="s">
        <v>13</v>
      </c>
      <c r="G283" s="12" t="s">
        <v>14</v>
      </c>
      <c r="H283" s="30"/>
    </row>
    <row r="284">
      <c r="A284" s="6">
        <v>284.0</v>
      </c>
      <c r="B284" s="8">
        <v>284.0</v>
      </c>
      <c r="C284" s="8" t="s">
        <v>1329</v>
      </c>
      <c r="D284" s="8" t="s">
        <v>1330</v>
      </c>
      <c r="E284" s="59">
        <v>46180.0</v>
      </c>
      <c r="F284" s="8" t="s">
        <v>13</v>
      </c>
      <c r="G284" s="12" t="s">
        <v>31</v>
      </c>
      <c r="H284" s="30"/>
    </row>
    <row r="285">
      <c r="A285" s="6">
        <v>285.0</v>
      </c>
      <c r="B285" s="8">
        <v>285.0</v>
      </c>
      <c r="C285" s="69" t="s">
        <v>1331</v>
      </c>
      <c r="D285" s="8" t="s">
        <v>1332</v>
      </c>
      <c r="E285" s="59">
        <v>46180.0</v>
      </c>
      <c r="F285" s="8" t="s">
        <v>13</v>
      </c>
      <c r="G285" s="12" t="s">
        <v>31</v>
      </c>
      <c r="H285" s="30"/>
    </row>
    <row r="286">
      <c r="A286" s="6">
        <v>286.0</v>
      </c>
      <c r="B286" s="8">
        <v>286.0</v>
      </c>
      <c r="C286" s="8" t="s">
        <v>1333</v>
      </c>
      <c r="D286" s="8" t="s">
        <v>1334</v>
      </c>
      <c r="E286" s="59">
        <v>46180.0</v>
      </c>
      <c r="F286" s="8" t="s">
        <v>13</v>
      </c>
      <c r="G286" s="12" t="s">
        <v>31</v>
      </c>
      <c r="H286" s="30"/>
    </row>
    <row r="287">
      <c r="A287" s="6">
        <v>287.0</v>
      </c>
      <c r="B287" s="8">
        <v>287.0</v>
      </c>
      <c r="C287" s="8" t="s">
        <v>1335</v>
      </c>
      <c r="D287" s="8" t="s">
        <v>1336</v>
      </c>
      <c r="E287" s="59">
        <v>46180.0</v>
      </c>
      <c r="F287" s="8" t="s">
        <v>1337</v>
      </c>
      <c r="G287" s="12"/>
      <c r="H287" s="30"/>
    </row>
    <row r="288">
      <c r="A288" s="6">
        <v>288.0</v>
      </c>
      <c r="B288" s="8">
        <v>288.0</v>
      </c>
      <c r="C288" s="8" t="s">
        <v>1338</v>
      </c>
      <c r="D288" s="8" t="s">
        <v>1135</v>
      </c>
      <c r="E288" s="8" t="s">
        <v>1339</v>
      </c>
      <c r="F288" s="8" t="s">
        <v>13</v>
      </c>
      <c r="G288" s="12" t="s">
        <v>14</v>
      </c>
      <c r="H288" s="30"/>
    </row>
    <row r="289">
      <c r="A289" s="6">
        <v>289.0</v>
      </c>
      <c r="B289" s="8">
        <v>289.0</v>
      </c>
      <c r="C289" s="8" t="s">
        <v>1340</v>
      </c>
      <c r="D289" s="8" t="s">
        <v>1341</v>
      </c>
      <c r="E289" s="152">
        <v>46190.0</v>
      </c>
      <c r="F289" s="8" t="s">
        <v>336</v>
      </c>
      <c r="G289" s="12" t="s">
        <v>31</v>
      </c>
      <c r="H289" s="30"/>
    </row>
    <row r="290">
      <c r="A290" s="6">
        <v>290.0</v>
      </c>
      <c r="B290" s="8">
        <v>290.0</v>
      </c>
      <c r="C290" s="8" t="s">
        <v>1342</v>
      </c>
      <c r="D290" s="8" t="s">
        <v>1343</v>
      </c>
      <c r="E290" s="121">
        <v>46186.0</v>
      </c>
      <c r="F290" s="8" t="s">
        <v>896</v>
      </c>
      <c r="G290" s="12" t="s">
        <v>31</v>
      </c>
      <c r="H290" s="30"/>
    </row>
    <row r="291">
      <c r="A291" s="6">
        <v>291.0</v>
      </c>
      <c r="B291" s="8">
        <v>291.0</v>
      </c>
      <c r="C291" s="8" t="s">
        <v>1342</v>
      </c>
      <c r="D291" s="8" t="s">
        <v>1344</v>
      </c>
      <c r="E291" s="59">
        <v>46185.0</v>
      </c>
      <c r="F291" s="8" t="s">
        <v>896</v>
      </c>
      <c r="G291" s="12" t="s">
        <v>31</v>
      </c>
      <c r="H291" s="30"/>
    </row>
    <row r="292">
      <c r="A292" s="6">
        <v>292.0</v>
      </c>
      <c r="B292" s="8">
        <v>292.0</v>
      </c>
      <c r="C292" s="8" t="s">
        <v>106</v>
      </c>
      <c r="D292" s="8" t="s">
        <v>1345</v>
      </c>
      <c r="E292" s="8" t="s">
        <v>1346</v>
      </c>
      <c r="F292" s="8" t="s">
        <v>13</v>
      </c>
      <c r="G292" s="12" t="s">
        <v>33</v>
      </c>
      <c r="H292" s="30"/>
    </row>
    <row r="293">
      <c r="A293" s="6">
        <v>293.0</v>
      </c>
      <c r="B293" s="8">
        <v>293.0</v>
      </c>
      <c r="C293" s="8" t="s">
        <v>339</v>
      </c>
      <c r="D293" s="8" t="s">
        <v>1347</v>
      </c>
      <c r="E293" s="8" t="s">
        <v>1348</v>
      </c>
      <c r="F293" s="8" t="s">
        <v>13</v>
      </c>
      <c r="G293" s="12" t="s">
        <v>31</v>
      </c>
      <c r="H293" s="30"/>
    </row>
    <row r="294">
      <c r="A294" s="6">
        <v>294.0</v>
      </c>
      <c r="B294" s="8">
        <v>294.0</v>
      </c>
      <c r="C294" s="8" t="s">
        <v>1349</v>
      </c>
      <c r="D294" s="8" t="s">
        <v>1350</v>
      </c>
      <c r="E294" s="59">
        <v>46192.0</v>
      </c>
      <c r="F294" s="8" t="s">
        <v>987</v>
      </c>
      <c r="G294" s="12" t="s">
        <v>31</v>
      </c>
      <c r="H294" s="30"/>
    </row>
    <row r="295">
      <c r="A295" s="6">
        <v>295.0</v>
      </c>
      <c r="B295" s="8">
        <v>295.0</v>
      </c>
      <c r="C295" s="8" t="s">
        <v>1351</v>
      </c>
      <c r="D295" s="8" t="s">
        <v>687</v>
      </c>
      <c r="E295" s="59">
        <v>46186.0</v>
      </c>
      <c r="F295" s="8" t="s">
        <v>233</v>
      </c>
      <c r="G295" s="12" t="s">
        <v>14</v>
      </c>
      <c r="H295" s="30"/>
    </row>
    <row r="296">
      <c r="A296" s="6">
        <v>296.0</v>
      </c>
      <c r="B296" s="8">
        <v>296.0</v>
      </c>
      <c r="C296" s="8" t="s">
        <v>1217</v>
      </c>
      <c r="D296" s="8" t="s">
        <v>1352</v>
      </c>
      <c r="E296" s="8" t="s">
        <v>1353</v>
      </c>
      <c r="F296" s="8" t="s">
        <v>233</v>
      </c>
      <c r="G296" s="12" t="s">
        <v>14</v>
      </c>
      <c r="H296" s="30"/>
    </row>
    <row r="297">
      <c r="A297" s="6">
        <v>297.0</v>
      </c>
      <c r="B297" s="8">
        <v>297.0</v>
      </c>
      <c r="C297" s="8" t="s">
        <v>1354</v>
      </c>
      <c r="D297" s="8" t="s">
        <v>1355</v>
      </c>
      <c r="E297" s="59">
        <v>46186.0</v>
      </c>
      <c r="F297" s="8" t="s">
        <v>1315</v>
      </c>
      <c r="G297" s="12" t="s">
        <v>31</v>
      </c>
      <c r="H297" s="30"/>
    </row>
    <row r="298">
      <c r="A298" s="6">
        <v>298.0</v>
      </c>
      <c r="B298" s="8">
        <v>298.0</v>
      </c>
      <c r="C298" s="8" t="s">
        <v>1356</v>
      </c>
      <c r="D298" s="8" t="s">
        <v>1357</v>
      </c>
      <c r="E298" s="8" t="s">
        <v>1358</v>
      </c>
      <c r="F298" s="8" t="s">
        <v>233</v>
      </c>
      <c r="G298" s="12" t="s">
        <v>14</v>
      </c>
      <c r="H298" s="30"/>
    </row>
    <row r="299">
      <c r="A299" s="6">
        <v>299.0</v>
      </c>
      <c r="B299" s="8">
        <v>299.0</v>
      </c>
      <c r="C299" s="8" t="s">
        <v>1359</v>
      </c>
      <c r="D299" s="8" t="s">
        <v>1360</v>
      </c>
      <c r="E299" s="59">
        <v>46186.0</v>
      </c>
      <c r="F299" s="8" t="s">
        <v>144</v>
      </c>
      <c r="G299" s="12" t="s">
        <v>31</v>
      </c>
      <c r="H299" s="30"/>
    </row>
    <row r="300">
      <c r="A300" s="6">
        <v>300.0</v>
      </c>
      <c r="B300" s="8">
        <v>300.0</v>
      </c>
      <c r="C300" s="8" t="s">
        <v>1351</v>
      </c>
      <c r="D300" s="8" t="s">
        <v>687</v>
      </c>
      <c r="E300" s="59">
        <v>46187.0</v>
      </c>
      <c r="F300" s="8" t="s">
        <v>233</v>
      </c>
      <c r="G300" s="12" t="s">
        <v>14</v>
      </c>
      <c r="H300" s="30"/>
    </row>
    <row r="301">
      <c r="A301" s="6">
        <v>301.0</v>
      </c>
      <c r="B301" s="8">
        <v>301.0</v>
      </c>
      <c r="C301" s="69" t="s">
        <v>1361</v>
      </c>
      <c r="D301" s="8" t="s">
        <v>1362</v>
      </c>
      <c r="E301" s="59">
        <v>46187.0</v>
      </c>
      <c r="F301" s="8" t="s">
        <v>144</v>
      </c>
      <c r="G301" s="12" t="s">
        <v>31</v>
      </c>
      <c r="H301" s="30"/>
    </row>
    <row r="302">
      <c r="A302" s="6">
        <v>302.0</v>
      </c>
      <c r="B302" s="8">
        <v>302.0</v>
      </c>
      <c r="C302" s="8" t="s">
        <v>1363</v>
      </c>
      <c r="D302" s="8" t="s">
        <v>1364</v>
      </c>
      <c r="E302" s="59">
        <v>46186.0</v>
      </c>
      <c r="F302" s="8" t="s">
        <v>144</v>
      </c>
      <c r="G302" s="12" t="s">
        <v>31</v>
      </c>
      <c r="H302" s="30"/>
    </row>
    <row r="303">
      <c r="A303" s="6">
        <v>303.0</v>
      </c>
      <c r="B303" s="8">
        <v>303.0</v>
      </c>
      <c r="C303" s="8" t="s">
        <v>1365</v>
      </c>
      <c r="D303" s="8" t="s">
        <v>1366</v>
      </c>
      <c r="E303" s="59">
        <v>46189.0</v>
      </c>
      <c r="F303" s="8" t="s">
        <v>1367</v>
      </c>
      <c r="G303" s="12" t="s">
        <v>31</v>
      </c>
      <c r="H303" s="30"/>
    </row>
    <row r="304">
      <c r="A304" s="6">
        <v>304.0</v>
      </c>
      <c r="B304" s="8">
        <v>304.0</v>
      </c>
      <c r="C304" s="8" t="s">
        <v>1368</v>
      </c>
      <c r="D304" s="8" t="s">
        <v>1369</v>
      </c>
      <c r="E304" s="59">
        <v>46186.0</v>
      </c>
      <c r="F304" s="8" t="s">
        <v>144</v>
      </c>
      <c r="G304" s="12" t="s">
        <v>31</v>
      </c>
      <c r="H304" s="30"/>
    </row>
    <row r="305">
      <c r="A305" s="6">
        <v>305.0</v>
      </c>
      <c r="B305" s="8">
        <v>305.0</v>
      </c>
      <c r="C305" s="8" t="s">
        <v>1281</v>
      </c>
      <c r="D305" s="8" t="s">
        <v>1370</v>
      </c>
      <c r="E305" s="76" t="s">
        <v>1371</v>
      </c>
      <c r="F305" s="8" t="s">
        <v>144</v>
      </c>
      <c r="G305" s="12" t="s">
        <v>31</v>
      </c>
      <c r="H305" s="30"/>
    </row>
    <row r="306">
      <c r="A306" s="6">
        <v>306.0</v>
      </c>
      <c r="B306" s="8">
        <v>306.0</v>
      </c>
      <c r="C306" s="8" t="s">
        <v>1372</v>
      </c>
      <c r="D306" s="8" t="s">
        <v>1373</v>
      </c>
      <c r="E306" s="59">
        <v>46188.0</v>
      </c>
      <c r="F306" s="8" t="s">
        <v>144</v>
      </c>
      <c r="G306" s="12" t="s">
        <v>31</v>
      </c>
      <c r="H306" s="30"/>
    </row>
    <row r="307">
      <c r="A307" s="6">
        <v>307.0</v>
      </c>
      <c r="B307" s="8">
        <v>307.0</v>
      </c>
      <c r="C307" s="8" t="s">
        <v>1374</v>
      </c>
      <c r="D307" s="8" t="s">
        <v>1324</v>
      </c>
      <c r="E307" s="59">
        <v>46189.0</v>
      </c>
      <c r="F307" s="8" t="s">
        <v>233</v>
      </c>
      <c r="G307" s="12" t="s">
        <v>14</v>
      </c>
      <c r="H307" s="30"/>
    </row>
    <row r="308">
      <c r="A308" s="6">
        <v>308.0</v>
      </c>
      <c r="B308" s="8">
        <v>308.0</v>
      </c>
      <c r="C308" s="8" t="s">
        <v>1375</v>
      </c>
      <c r="D308" s="8" t="s">
        <v>1376</v>
      </c>
      <c r="E308" s="59">
        <v>46189.0</v>
      </c>
      <c r="F308" s="8" t="s">
        <v>244</v>
      </c>
      <c r="G308" s="12" t="s">
        <v>14</v>
      </c>
      <c r="H308" s="30"/>
    </row>
    <row r="309">
      <c r="A309" s="6">
        <v>309.0</v>
      </c>
      <c r="B309" s="8">
        <v>309.0</v>
      </c>
      <c r="C309" s="8" t="s">
        <v>1377</v>
      </c>
      <c r="D309" s="8" t="s">
        <v>1378</v>
      </c>
      <c r="E309" s="8" t="s">
        <v>1379</v>
      </c>
      <c r="F309" s="8" t="s">
        <v>244</v>
      </c>
      <c r="G309" s="12" t="s">
        <v>14</v>
      </c>
      <c r="H309" s="30"/>
    </row>
    <row r="310">
      <c r="A310" s="6">
        <v>310.0</v>
      </c>
      <c r="B310" s="8">
        <v>310.0</v>
      </c>
      <c r="C310" s="8" t="s">
        <v>1380</v>
      </c>
      <c r="D310" s="8" t="s">
        <v>1381</v>
      </c>
      <c r="E310" s="59">
        <v>46194.0</v>
      </c>
      <c r="F310" s="8" t="s">
        <v>151</v>
      </c>
      <c r="G310" s="12" t="s">
        <v>31</v>
      </c>
      <c r="H310" s="30"/>
    </row>
    <row r="311">
      <c r="A311" s="6">
        <v>311.0</v>
      </c>
      <c r="B311" s="8">
        <v>311.0</v>
      </c>
      <c r="C311" s="8" t="s">
        <v>1382</v>
      </c>
      <c r="D311" s="8" t="s">
        <v>1383</v>
      </c>
      <c r="E311" s="59">
        <v>46189.0</v>
      </c>
      <c r="F311" s="8" t="s">
        <v>151</v>
      </c>
      <c r="G311" s="12" t="s">
        <v>31</v>
      </c>
      <c r="H311" s="30"/>
    </row>
    <row r="312">
      <c r="A312" s="6">
        <v>312.0</v>
      </c>
      <c r="B312" s="8">
        <v>312.0</v>
      </c>
      <c r="C312" s="8" t="s">
        <v>1384</v>
      </c>
      <c r="D312" s="8" t="s">
        <v>1385</v>
      </c>
      <c r="E312" s="59">
        <v>46190.0</v>
      </c>
      <c r="F312" s="8" t="s">
        <v>163</v>
      </c>
      <c r="G312" s="12" t="s">
        <v>31</v>
      </c>
      <c r="H312" s="30"/>
    </row>
    <row r="313">
      <c r="A313" s="6">
        <v>313.0</v>
      </c>
      <c r="B313" s="8">
        <v>313.0</v>
      </c>
      <c r="C313" s="8" t="s">
        <v>1386</v>
      </c>
      <c r="D313" s="8" t="s">
        <v>1387</v>
      </c>
      <c r="E313" s="59">
        <v>46192.0</v>
      </c>
      <c r="F313" s="8" t="s">
        <v>949</v>
      </c>
      <c r="G313" s="12" t="s">
        <v>31</v>
      </c>
      <c r="H313" s="30"/>
    </row>
    <row r="314">
      <c r="A314" s="6">
        <v>314.0</v>
      </c>
      <c r="B314" s="8">
        <v>314.0</v>
      </c>
      <c r="C314" s="8" t="s">
        <v>1388</v>
      </c>
      <c r="D314" s="8" t="s">
        <v>1389</v>
      </c>
      <c r="E314" s="59">
        <v>46192.0</v>
      </c>
      <c r="F314" s="8" t="s">
        <v>1390</v>
      </c>
      <c r="G314" s="12" t="s">
        <v>31</v>
      </c>
      <c r="H314" s="30"/>
    </row>
    <row r="315">
      <c r="A315" s="6">
        <v>315.0</v>
      </c>
      <c r="B315" s="8">
        <v>315.0</v>
      </c>
      <c r="C315" s="8" t="s">
        <v>1391</v>
      </c>
      <c r="D315" s="8" t="s">
        <v>1392</v>
      </c>
      <c r="E315" s="59">
        <v>46193.0</v>
      </c>
      <c r="F315" s="8" t="s">
        <v>1393</v>
      </c>
      <c r="G315" s="12" t="s">
        <v>1394</v>
      </c>
      <c r="H315" s="30"/>
    </row>
    <row r="316">
      <c r="A316" s="6">
        <v>316.0</v>
      </c>
      <c r="B316" s="8">
        <v>316.0</v>
      </c>
      <c r="C316" s="8" t="s">
        <v>1395</v>
      </c>
      <c r="D316" s="8" t="s">
        <v>1396</v>
      </c>
      <c r="E316" s="121">
        <v>46193.0</v>
      </c>
      <c r="F316" s="8" t="s">
        <v>1397</v>
      </c>
      <c r="G316" s="12" t="s">
        <v>31</v>
      </c>
      <c r="H316" s="30"/>
    </row>
    <row r="317">
      <c r="A317" s="6">
        <v>317.0</v>
      </c>
      <c r="B317" s="8">
        <v>315.0</v>
      </c>
      <c r="C317" s="8" t="s">
        <v>1398</v>
      </c>
      <c r="D317" s="8" t="s">
        <v>265</v>
      </c>
      <c r="E317" s="8" t="s">
        <v>1399</v>
      </c>
      <c r="F317" s="8" t="s">
        <v>233</v>
      </c>
      <c r="G317" s="12" t="s">
        <v>14</v>
      </c>
      <c r="H317" s="30"/>
    </row>
    <row r="318">
      <c r="A318" s="6">
        <v>318.0</v>
      </c>
      <c r="B318" s="8">
        <v>316.0</v>
      </c>
      <c r="C318" s="8" t="s">
        <v>211</v>
      </c>
      <c r="D318" s="8" t="s">
        <v>1400</v>
      </c>
      <c r="E318" s="59">
        <v>46195.0</v>
      </c>
      <c r="F318" s="8" t="s">
        <v>244</v>
      </c>
      <c r="G318" s="12" t="s">
        <v>1401</v>
      </c>
      <c r="H318" s="30"/>
    </row>
    <row r="319">
      <c r="A319" s="6">
        <v>319.0</v>
      </c>
      <c r="B319" s="8">
        <v>317.0</v>
      </c>
      <c r="C319" s="8" t="s">
        <v>1402</v>
      </c>
      <c r="D319" s="8" t="s">
        <v>1324</v>
      </c>
      <c r="E319" s="8" t="s">
        <v>1403</v>
      </c>
      <c r="F319" s="47"/>
      <c r="G319" s="12" t="s">
        <v>1401</v>
      </c>
      <c r="H319" s="30"/>
    </row>
    <row r="320">
      <c r="A320" s="6">
        <v>320.0</v>
      </c>
      <c r="B320" s="8">
        <v>318.0</v>
      </c>
      <c r="C320" s="8" t="s">
        <v>1404</v>
      </c>
      <c r="D320" s="8" t="s">
        <v>1405</v>
      </c>
      <c r="E320" s="59">
        <v>46194.0</v>
      </c>
      <c r="F320" s="8" t="s">
        <v>1406</v>
      </c>
      <c r="G320" s="30"/>
      <c r="H320" s="30"/>
    </row>
    <row r="321">
      <c r="A321" s="6">
        <v>321.0</v>
      </c>
      <c r="B321" s="8">
        <v>319.0</v>
      </c>
      <c r="C321" s="8" t="s">
        <v>1407</v>
      </c>
      <c r="D321" s="8" t="s">
        <v>1408</v>
      </c>
      <c r="E321" s="59">
        <v>46194.0</v>
      </c>
      <c r="F321" s="8" t="s">
        <v>1409</v>
      </c>
      <c r="G321" s="12" t="s">
        <v>1401</v>
      </c>
      <c r="H321" s="30"/>
    </row>
    <row r="322">
      <c r="A322" s="6">
        <v>322.0</v>
      </c>
      <c r="B322" s="8">
        <v>322.0</v>
      </c>
      <c r="C322" s="69" t="s">
        <v>1410</v>
      </c>
      <c r="D322" s="8" t="s">
        <v>1411</v>
      </c>
      <c r="E322" s="59">
        <v>46200.0</v>
      </c>
      <c r="F322" s="8" t="s">
        <v>233</v>
      </c>
      <c r="G322" s="12" t="s">
        <v>1401</v>
      </c>
      <c r="H322" s="30"/>
    </row>
    <row r="323">
      <c r="A323" s="6">
        <v>323.0</v>
      </c>
      <c r="B323" s="8">
        <v>323.0</v>
      </c>
      <c r="C323" s="83" t="s">
        <v>339</v>
      </c>
      <c r="D323" s="8" t="s">
        <v>1412</v>
      </c>
      <c r="E323" s="59">
        <v>46195.0</v>
      </c>
      <c r="F323" s="8" t="s">
        <v>233</v>
      </c>
      <c r="G323" s="12" t="s">
        <v>1401</v>
      </c>
      <c r="H323" s="30"/>
    </row>
    <row r="324">
      <c r="A324" s="6">
        <v>324.0</v>
      </c>
      <c r="B324" s="8">
        <v>324.0</v>
      </c>
      <c r="C324" s="8" t="s">
        <v>1413</v>
      </c>
      <c r="D324" s="8" t="s">
        <v>1414</v>
      </c>
      <c r="E324" s="8" t="s">
        <v>1415</v>
      </c>
      <c r="F324" s="8" t="s">
        <v>233</v>
      </c>
      <c r="G324" s="12" t="s">
        <v>1401</v>
      </c>
      <c r="H324" s="30"/>
    </row>
    <row r="325">
      <c r="A325" s="6">
        <v>325.0</v>
      </c>
      <c r="B325" s="8">
        <v>325.0</v>
      </c>
      <c r="C325" s="8" t="s">
        <v>1416</v>
      </c>
      <c r="D325" s="8" t="s">
        <v>1417</v>
      </c>
      <c r="E325" s="8" t="s">
        <v>1418</v>
      </c>
      <c r="F325" s="8" t="s">
        <v>233</v>
      </c>
      <c r="G325" s="12" t="s">
        <v>1401</v>
      </c>
      <c r="H325" s="30"/>
    </row>
    <row r="326">
      <c r="A326" s="6">
        <v>326.0</v>
      </c>
      <c r="B326" s="8">
        <v>326.0</v>
      </c>
      <c r="C326" s="8" t="s">
        <v>1045</v>
      </c>
      <c r="D326" s="8" t="s">
        <v>1419</v>
      </c>
      <c r="E326" s="69" t="s">
        <v>1420</v>
      </c>
      <c r="F326" s="8" t="s">
        <v>233</v>
      </c>
      <c r="G326" s="12" t="s">
        <v>1401</v>
      </c>
      <c r="H326" s="30"/>
    </row>
    <row r="327">
      <c r="A327" s="6">
        <v>327.0</v>
      </c>
      <c r="B327" s="8">
        <v>327.0</v>
      </c>
      <c r="C327" s="8" t="s">
        <v>1421</v>
      </c>
      <c r="D327" s="8" t="s">
        <v>1422</v>
      </c>
      <c r="E327" s="59">
        <v>46200.0</v>
      </c>
      <c r="F327" s="8" t="s">
        <v>96</v>
      </c>
      <c r="G327" s="12" t="s">
        <v>1401</v>
      </c>
      <c r="H327" s="30"/>
    </row>
    <row r="328">
      <c r="A328" s="6">
        <v>328.0</v>
      </c>
      <c r="B328" s="8">
        <v>328.0</v>
      </c>
      <c r="C328" s="8" t="s">
        <v>1423</v>
      </c>
      <c r="D328" s="8" t="s">
        <v>313</v>
      </c>
      <c r="E328" s="8" t="s">
        <v>1418</v>
      </c>
      <c r="F328" s="8" t="s">
        <v>96</v>
      </c>
      <c r="G328" s="12" t="s">
        <v>1401</v>
      </c>
      <c r="H328" s="30"/>
    </row>
    <row r="329">
      <c r="A329" s="6">
        <v>329.0</v>
      </c>
      <c r="B329" s="8">
        <v>329.0</v>
      </c>
      <c r="C329" s="69" t="s">
        <v>1424</v>
      </c>
      <c r="D329" s="8" t="s">
        <v>1425</v>
      </c>
      <c r="E329" s="69" t="s">
        <v>1426</v>
      </c>
      <c r="F329" s="8" t="s">
        <v>96</v>
      </c>
      <c r="G329" s="12" t="s">
        <v>1401</v>
      </c>
      <c r="H329" s="30"/>
    </row>
    <row r="330">
      <c r="A330" s="6">
        <v>330.0</v>
      </c>
      <c r="B330" s="8">
        <v>330.0</v>
      </c>
      <c r="C330" s="8" t="s">
        <v>1427</v>
      </c>
      <c r="D330" s="8" t="s">
        <v>1428</v>
      </c>
      <c r="E330" s="59">
        <v>46199.0</v>
      </c>
      <c r="F330" s="8" t="s">
        <v>163</v>
      </c>
      <c r="G330" s="30"/>
      <c r="H330" s="30"/>
    </row>
    <row r="331">
      <c r="A331" s="6">
        <v>331.0</v>
      </c>
      <c r="B331" s="8">
        <v>331.0</v>
      </c>
      <c r="C331" s="8" t="s">
        <v>1429</v>
      </c>
      <c r="D331" s="8" t="s">
        <v>1430</v>
      </c>
      <c r="E331" s="59">
        <v>46201.0</v>
      </c>
      <c r="F331" s="8" t="s">
        <v>1431</v>
      </c>
      <c r="G331" s="12" t="s">
        <v>1432</v>
      </c>
      <c r="H331" s="30"/>
    </row>
    <row r="332">
      <c r="A332" s="6">
        <v>332.0</v>
      </c>
      <c r="B332" s="8">
        <v>332.0</v>
      </c>
      <c r="C332" s="83" t="s">
        <v>958</v>
      </c>
      <c r="D332" s="8" t="s">
        <v>1433</v>
      </c>
      <c r="E332" s="59">
        <v>46201.0</v>
      </c>
      <c r="F332" s="8" t="s">
        <v>96</v>
      </c>
      <c r="G332" s="12" t="s">
        <v>1401</v>
      </c>
      <c r="H332" s="30"/>
    </row>
    <row r="333">
      <c r="A333" s="6">
        <v>333.0</v>
      </c>
      <c r="B333" s="8">
        <v>333.0</v>
      </c>
      <c r="C333" s="8" t="s">
        <v>1434</v>
      </c>
      <c r="D333" s="8" t="s">
        <v>1435</v>
      </c>
      <c r="E333" s="8" t="s">
        <v>1436</v>
      </c>
      <c r="F333" s="8" t="s">
        <v>96</v>
      </c>
      <c r="G333" s="12" t="s">
        <v>1401</v>
      </c>
      <c r="H333" s="30"/>
    </row>
    <row r="334">
      <c r="A334" s="6">
        <v>334.0</v>
      </c>
      <c r="B334" s="8">
        <v>334.0</v>
      </c>
      <c r="C334" s="8" t="s">
        <v>1351</v>
      </c>
      <c r="D334" s="8" t="s">
        <v>687</v>
      </c>
      <c r="E334" s="8" t="s">
        <v>1436</v>
      </c>
      <c r="F334" s="8" t="s">
        <v>96</v>
      </c>
      <c r="G334" s="12" t="s">
        <v>1401</v>
      </c>
      <c r="H334" s="30"/>
    </row>
    <row r="335">
      <c r="A335" s="6">
        <v>335.0</v>
      </c>
      <c r="B335" s="8">
        <v>335.0</v>
      </c>
      <c r="C335" s="8" t="s">
        <v>1437</v>
      </c>
      <c r="D335" s="8" t="s">
        <v>723</v>
      </c>
      <c r="E335" s="8" t="s">
        <v>1436</v>
      </c>
      <c r="F335" s="8" t="s">
        <v>96</v>
      </c>
      <c r="G335" s="12" t="s">
        <v>1401</v>
      </c>
      <c r="H335" s="30"/>
    </row>
    <row r="336">
      <c r="A336" s="6">
        <v>336.0</v>
      </c>
      <c r="B336" s="8">
        <v>336.0</v>
      </c>
      <c r="C336" s="69" t="s">
        <v>1438</v>
      </c>
      <c r="D336" s="8" t="s">
        <v>1439</v>
      </c>
      <c r="E336" s="59">
        <v>46200.0</v>
      </c>
      <c r="F336" s="8" t="s">
        <v>336</v>
      </c>
      <c r="G336" s="12" t="s">
        <v>1401</v>
      </c>
      <c r="H336" s="30"/>
    </row>
    <row r="337">
      <c r="A337" s="6">
        <v>337.0</v>
      </c>
      <c r="B337" s="8">
        <v>337.0</v>
      </c>
      <c r="C337" s="69" t="s">
        <v>1440</v>
      </c>
      <c r="D337" s="8" t="s">
        <v>1441</v>
      </c>
      <c r="E337" s="59">
        <v>46200.0</v>
      </c>
      <c r="F337" s="8" t="s">
        <v>1442</v>
      </c>
      <c r="G337" s="12" t="s">
        <v>1401</v>
      </c>
      <c r="H337" s="30"/>
    </row>
    <row r="338">
      <c r="A338" s="6">
        <v>338.0</v>
      </c>
      <c r="B338" s="8">
        <v>338.0</v>
      </c>
      <c r="C338" s="8" t="s">
        <v>1443</v>
      </c>
      <c r="D338" s="8" t="s">
        <v>1444</v>
      </c>
      <c r="E338" s="59">
        <v>46201.0</v>
      </c>
      <c r="F338" s="8" t="s">
        <v>96</v>
      </c>
      <c r="G338" s="12" t="s">
        <v>1401</v>
      </c>
      <c r="H338" s="30"/>
    </row>
    <row r="339">
      <c r="A339" s="6">
        <v>339.0</v>
      </c>
      <c r="B339" s="8">
        <v>339.0</v>
      </c>
      <c r="C339" s="69" t="s">
        <v>187</v>
      </c>
      <c r="D339" s="8" t="s">
        <v>1445</v>
      </c>
      <c r="E339" s="69" t="s">
        <v>1446</v>
      </c>
      <c r="F339" s="8" t="s">
        <v>96</v>
      </c>
      <c r="G339" s="12" t="s">
        <v>1401</v>
      </c>
      <c r="H339" s="30"/>
    </row>
    <row r="340">
      <c r="A340" s="6">
        <v>340.0</v>
      </c>
      <c r="B340" s="8">
        <v>340.0</v>
      </c>
      <c r="C340" s="69" t="s">
        <v>1447</v>
      </c>
      <c r="D340" s="8" t="s">
        <v>1448</v>
      </c>
      <c r="E340" s="59">
        <v>46201.0</v>
      </c>
      <c r="F340" s="8" t="s">
        <v>1449</v>
      </c>
      <c r="G340" s="12" t="s">
        <v>1401</v>
      </c>
      <c r="H340" s="30"/>
    </row>
    <row r="341">
      <c r="A341" s="6">
        <v>341.0</v>
      </c>
      <c r="B341" s="8">
        <v>341.0</v>
      </c>
      <c r="C341" s="8" t="s">
        <v>1450</v>
      </c>
      <c r="D341" s="8" t="s">
        <v>1451</v>
      </c>
      <c r="E341" s="8" t="s">
        <v>1452</v>
      </c>
      <c r="F341" s="8" t="s">
        <v>233</v>
      </c>
      <c r="G341" s="12" t="s">
        <v>1401</v>
      </c>
      <c r="H341" s="30"/>
    </row>
    <row r="342">
      <c r="A342" s="6">
        <v>342.0</v>
      </c>
      <c r="B342" s="8">
        <v>342.0</v>
      </c>
      <c r="C342" s="8" t="s">
        <v>1453</v>
      </c>
      <c r="D342" s="8" t="s">
        <v>1454</v>
      </c>
      <c r="E342" s="59">
        <v>46201.0</v>
      </c>
      <c r="F342" s="8" t="s">
        <v>144</v>
      </c>
      <c r="G342" s="12" t="s">
        <v>1401</v>
      </c>
      <c r="H342" s="30"/>
    </row>
    <row r="343">
      <c r="A343" s="6">
        <v>343.0</v>
      </c>
      <c r="B343" s="8">
        <v>343.0</v>
      </c>
      <c r="C343" s="8" t="s">
        <v>1455</v>
      </c>
      <c r="D343" s="8" t="s">
        <v>1456</v>
      </c>
      <c r="E343" s="59">
        <v>46201.0</v>
      </c>
      <c r="F343" s="8" t="s">
        <v>144</v>
      </c>
      <c r="G343" s="12" t="s">
        <v>1401</v>
      </c>
      <c r="H343" s="30"/>
    </row>
    <row r="344">
      <c r="A344" s="6">
        <v>344.0</v>
      </c>
      <c r="B344" s="8">
        <v>344.0</v>
      </c>
      <c r="C344" s="8" t="s">
        <v>1457</v>
      </c>
      <c r="D344" s="8" t="s">
        <v>1458</v>
      </c>
      <c r="E344" s="59">
        <v>46201.0</v>
      </c>
      <c r="F344" s="8" t="s">
        <v>1459</v>
      </c>
      <c r="G344" s="12" t="s">
        <v>31</v>
      </c>
      <c r="H344" s="30"/>
    </row>
    <row r="345">
      <c r="A345" s="6">
        <v>345.0</v>
      </c>
      <c r="B345" s="8">
        <v>345.0</v>
      </c>
      <c r="C345" s="8" t="s">
        <v>1460</v>
      </c>
      <c r="D345" s="8" t="s">
        <v>1461</v>
      </c>
      <c r="E345" s="59">
        <v>46208.0</v>
      </c>
      <c r="F345" s="8" t="s">
        <v>1462</v>
      </c>
      <c r="G345" s="12" t="s">
        <v>31</v>
      </c>
      <c r="H345" s="30"/>
    </row>
    <row r="346">
      <c r="A346" s="6">
        <v>346.0</v>
      </c>
      <c r="B346" s="8">
        <v>346.0</v>
      </c>
      <c r="C346" s="8" t="s">
        <v>1463</v>
      </c>
      <c r="D346" s="8" t="s">
        <v>1464</v>
      </c>
      <c r="E346" s="59">
        <v>46204.0</v>
      </c>
      <c r="F346" s="8" t="s">
        <v>1442</v>
      </c>
      <c r="G346" s="12" t="s">
        <v>31</v>
      </c>
      <c r="H346" s="30"/>
    </row>
    <row r="347">
      <c r="A347" s="6">
        <v>347.0</v>
      </c>
      <c r="B347" s="8">
        <v>347.0</v>
      </c>
      <c r="C347" s="8" t="s">
        <v>1465</v>
      </c>
      <c r="D347" s="8" t="s">
        <v>1466</v>
      </c>
      <c r="E347" s="8" t="s">
        <v>1467</v>
      </c>
      <c r="F347" s="8" t="s">
        <v>233</v>
      </c>
      <c r="G347" s="12" t="s">
        <v>1401</v>
      </c>
      <c r="H347" s="30"/>
    </row>
    <row r="348">
      <c r="A348" s="6">
        <v>348.0</v>
      </c>
      <c r="B348" s="8">
        <v>348.0</v>
      </c>
      <c r="C348" s="8" t="s">
        <v>1468</v>
      </c>
      <c r="D348" s="8" t="s">
        <v>1469</v>
      </c>
      <c r="E348" s="59">
        <v>46204.0</v>
      </c>
      <c r="F348" s="8" t="s">
        <v>1470</v>
      </c>
      <c r="G348" s="30"/>
      <c r="H348" s="30"/>
    </row>
    <row r="349">
      <c r="A349" s="6">
        <v>349.0</v>
      </c>
      <c r="B349" s="8">
        <v>349.0</v>
      </c>
      <c r="C349" s="8" t="s">
        <v>1471</v>
      </c>
      <c r="D349" s="8" t="s">
        <v>1472</v>
      </c>
      <c r="E349" s="59">
        <v>46207.0</v>
      </c>
      <c r="F349" s="8" t="s">
        <v>1473</v>
      </c>
      <c r="G349" s="12" t="s">
        <v>31</v>
      </c>
      <c r="H349" s="30"/>
    </row>
    <row r="350">
      <c r="A350" s="6">
        <v>350.0</v>
      </c>
      <c r="B350" s="8">
        <v>350.0</v>
      </c>
      <c r="C350" s="8" t="s">
        <v>1474</v>
      </c>
      <c r="D350" s="8" t="s">
        <v>1475</v>
      </c>
      <c r="E350" s="59">
        <v>46208.0</v>
      </c>
      <c r="F350" s="8" t="s">
        <v>1473</v>
      </c>
      <c r="G350" s="12" t="s">
        <v>31</v>
      </c>
      <c r="H350" s="30"/>
    </row>
    <row r="351">
      <c r="A351" s="6">
        <v>351.0</v>
      </c>
      <c r="B351" s="8">
        <v>351.0</v>
      </c>
      <c r="C351" s="8" t="s">
        <v>1476</v>
      </c>
      <c r="D351" s="8" t="s">
        <v>1477</v>
      </c>
      <c r="E351" s="59">
        <v>46259.0</v>
      </c>
      <c r="F351" s="8" t="s">
        <v>1478</v>
      </c>
      <c r="G351" s="12" t="s">
        <v>31</v>
      </c>
      <c r="H351" s="30"/>
    </row>
    <row r="352">
      <c r="A352" s="6">
        <v>352.0</v>
      </c>
      <c r="B352" s="8">
        <v>352.0</v>
      </c>
      <c r="C352" s="8" t="s">
        <v>1479</v>
      </c>
      <c r="D352" s="8" t="s">
        <v>1480</v>
      </c>
      <c r="E352" s="8" t="s">
        <v>1481</v>
      </c>
      <c r="F352" s="8" t="s">
        <v>233</v>
      </c>
      <c r="G352" s="12" t="s">
        <v>1401</v>
      </c>
      <c r="H352" s="30"/>
    </row>
    <row r="353">
      <c r="A353" s="6">
        <v>353.0</v>
      </c>
      <c r="B353" s="8">
        <v>353.0</v>
      </c>
      <c r="C353" s="8" t="s">
        <v>1482</v>
      </c>
      <c r="D353" s="8" t="s">
        <v>1483</v>
      </c>
      <c r="E353" s="77">
        <v>46205.0</v>
      </c>
      <c r="F353" s="8" t="s">
        <v>85</v>
      </c>
      <c r="G353" s="12" t="s">
        <v>1484</v>
      </c>
      <c r="H353" s="30"/>
    </row>
    <row r="354">
      <c r="A354" s="6">
        <v>354.0</v>
      </c>
      <c r="B354" s="8">
        <v>354.0</v>
      </c>
      <c r="C354" s="8" t="s">
        <v>106</v>
      </c>
      <c r="D354" s="8" t="s">
        <v>1139</v>
      </c>
      <c r="E354" s="8" t="s">
        <v>1485</v>
      </c>
      <c r="F354" s="8" t="s">
        <v>233</v>
      </c>
      <c r="G354" s="12" t="s">
        <v>1401</v>
      </c>
      <c r="H354" s="30"/>
    </row>
    <row r="355">
      <c r="A355" s="6">
        <v>355.0</v>
      </c>
      <c r="B355" s="8">
        <v>355.0</v>
      </c>
      <c r="C355" s="8" t="s">
        <v>1434</v>
      </c>
      <c r="D355" s="8" t="s">
        <v>1486</v>
      </c>
      <c r="E355" s="69" t="s">
        <v>1487</v>
      </c>
      <c r="F355" s="8" t="s">
        <v>96</v>
      </c>
      <c r="G355" s="12" t="s">
        <v>31</v>
      </c>
      <c r="H355" s="30"/>
    </row>
    <row r="356">
      <c r="A356" s="6">
        <v>356.0</v>
      </c>
      <c r="B356" s="8">
        <v>356.0</v>
      </c>
      <c r="C356" s="8" t="s">
        <v>211</v>
      </c>
      <c r="D356" s="8" t="s">
        <v>1488</v>
      </c>
      <c r="E356" s="79" t="s">
        <v>1489</v>
      </c>
      <c r="F356" s="8" t="s">
        <v>96</v>
      </c>
      <c r="G356" s="12" t="s">
        <v>1401</v>
      </c>
      <c r="H356" s="30"/>
    </row>
    <row r="357">
      <c r="A357" s="6">
        <v>357.0</v>
      </c>
      <c r="B357" s="8">
        <v>357.0</v>
      </c>
      <c r="C357" s="8" t="s">
        <v>1490</v>
      </c>
      <c r="D357" s="8" t="s">
        <v>1491</v>
      </c>
      <c r="E357" s="153">
        <v>46206.0</v>
      </c>
      <c r="F357" s="8" t="s">
        <v>151</v>
      </c>
      <c r="G357" s="12" t="s">
        <v>31</v>
      </c>
      <c r="H357" s="30"/>
    </row>
    <row r="358">
      <c r="A358" s="6">
        <v>358.0</v>
      </c>
      <c r="B358" s="8">
        <v>358.0</v>
      </c>
      <c r="C358" s="8" t="s">
        <v>1490</v>
      </c>
      <c r="D358" s="8" t="s">
        <v>1492</v>
      </c>
      <c r="E358" s="153">
        <v>46206.0</v>
      </c>
      <c r="F358" s="8" t="s">
        <v>151</v>
      </c>
      <c r="G358" s="12" t="s">
        <v>31</v>
      </c>
      <c r="H358" s="30"/>
    </row>
    <row r="359">
      <c r="A359" s="6">
        <v>359.0</v>
      </c>
      <c r="B359" s="8">
        <v>359.0</v>
      </c>
      <c r="C359" s="8" t="s">
        <v>1490</v>
      </c>
      <c r="D359" s="8" t="s">
        <v>1493</v>
      </c>
      <c r="E359" s="153">
        <v>46206.0</v>
      </c>
      <c r="F359" s="8" t="s">
        <v>151</v>
      </c>
      <c r="G359" s="12" t="s">
        <v>31</v>
      </c>
      <c r="H359" s="30"/>
    </row>
    <row r="360">
      <c r="A360" s="6">
        <v>360.0</v>
      </c>
      <c r="B360" s="8">
        <v>360.0</v>
      </c>
      <c r="C360" s="8" t="s">
        <v>1494</v>
      </c>
      <c r="D360" s="8" t="s">
        <v>1495</v>
      </c>
      <c r="E360" s="8" t="s">
        <v>1496</v>
      </c>
      <c r="F360" s="8" t="s">
        <v>233</v>
      </c>
      <c r="G360" s="12" t="s">
        <v>1401</v>
      </c>
      <c r="H360" s="30"/>
    </row>
    <row r="361">
      <c r="A361" s="6">
        <v>361.0</v>
      </c>
      <c r="B361" s="8">
        <v>361.0</v>
      </c>
      <c r="C361" s="8" t="s">
        <v>778</v>
      </c>
      <c r="D361" s="8" t="s">
        <v>89</v>
      </c>
      <c r="E361" s="8" t="s">
        <v>1496</v>
      </c>
      <c r="F361" s="8" t="s">
        <v>233</v>
      </c>
      <c r="G361" s="12" t="s">
        <v>1401</v>
      </c>
      <c r="H361" s="30"/>
    </row>
    <row r="362">
      <c r="A362" s="6">
        <v>362.0</v>
      </c>
      <c r="B362" s="8">
        <v>362.0</v>
      </c>
      <c r="C362" s="8" t="s">
        <v>1032</v>
      </c>
      <c r="D362" s="8" t="s">
        <v>1497</v>
      </c>
      <c r="E362" s="8" t="s">
        <v>1498</v>
      </c>
      <c r="F362" s="8" t="s">
        <v>233</v>
      </c>
      <c r="G362" s="12" t="s">
        <v>1401</v>
      </c>
      <c r="H362" s="30"/>
    </row>
    <row r="363">
      <c r="A363" s="6">
        <v>363.0</v>
      </c>
      <c r="B363" s="8">
        <v>363.0</v>
      </c>
      <c r="C363" s="8" t="s">
        <v>1499</v>
      </c>
      <c r="D363" s="8" t="s">
        <v>709</v>
      </c>
      <c r="E363" s="8" t="s">
        <v>1496</v>
      </c>
      <c r="F363" s="8" t="s">
        <v>233</v>
      </c>
      <c r="G363" s="12" t="s">
        <v>1401</v>
      </c>
      <c r="H363" s="30"/>
    </row>
    <row r="364">
      <c r="A364" s="6">
        <v>364.0</v>
      </c>
      <c r="B364" s="8">
        <v>364.0</v>
      </c>
      <c r="C364" s="8" t="s">
        <v>1500</v>
      </c>
      <c r="D364" s="8" t="s">
        <v>1501</v>
      </c>
      <c r="E364" s="8" t="s">
        <v>1502</v>
      </c>
      <c r="F364" s="8" t="s">
        <v>233</v>
      </c>
      <c r="G364" s="12" t="s">
        <v>1401</v>
      </c>
      <c r="H364" s="30"/>
    </row>
    <row r="365">
      <c r="A365" s="6">
        <v>365.0</v>
      </c>
      <c r="B365" s="8">
        <v>365.0</v>
      </c>
      <c r="C365" s="8" t="s">
        <v>1351</v>
      </c>
      <c r="D365" s="8" t="s">
        <v>367</v>
      </c>
      <c r="E365" s="8" t="s">
        <v>1496</v>
      </c>
      <c r="F365" s="8" t="s">
        <v>233</v>
      </c>
      <c r="G365" s="12" t="s">
        <v>1401</v>
      </c>
      <c r="H365" s="30"/>
    </row>
    <row r="366">
      <c r="A366" s="6">
        <v>366.0</v>
      </c>
      <c r="B366" s="8">
        <v>366.0</v>
      </c>
      <c r="C366" s="8" t="s">
        <v>1503</v>
      </c>
      <c r="D366" s="8" t="s">
        <v>1504</v>
      </c>
      <c r="E366" s="59">
        <v>46207.0</v>
      </c>
      <c r="F366" s="8" t="s">
        <v>151</v>
      </c>
      <c r="G366" s="12" t="s">
        <v>1401</v>
      </c>
      <c r="H366" s="30"/>
    </row>
    <row r="367">
      <c r="A367" s="6">
        <v>367.0</v>
      </c>
      <c r="B367" s="8">
        <v>367.0</v>
      </c>
      <c r="C367" s="8" t="s">
        <v>1290</v>
      </c>
      <c r="D367" s="8" t="s">
        <v>1505</v>
      </c>
      <c r="E367" s="8" t="s">
        <v>1506</v>
      </c>
      <c r="F367" s="8" t="s">
        <v>233</v>
      </c>
      <c r="G367" s="12" t="s">
        <v>1401</v>
      </c>
      <c r="H367" s="30"/>
    </row>
    <row r="368">
      <c r="A368" s="6">
        <v>368.0</v>
      </c>
      <c r="B368" s="8">
        <v>368.0</v>
      </c>
      <c r="C368" s="8" t="s">
        <v>1507</v>
      </c>
      <c r="D368" s="8" t="s">
        <v>1508</v>
      </c>
      <c r="E368" s="59">
        <v>46208.0</v>
      </c>
      <c r="F368" s="8" t="s">
        <v>233</v>
      </c>
      <c r="G368" s="12" t="s">
        <v>1401</v>
      </c>
      <c r="H368" s="30"/>
    </row>
    <row r="369">
      <c r="A369" s="6">
        <v>369.0</v>
      </c>
      <c r="B369" s="8">
        <v>369.0</v>
      </c>
      <c r="C369" s="69" t="s">
        <v>1410</v>
      </c>
      <c r="D369" s="8" t="s">
        <v>1509</v>
      </c>
      <c r="E369" s="69" t="s">
        <v>1510</v>
      </c>
      <c r="F369" s="8" t="s">
        <v>13</v>
      </c>
      <c r="G369" s="12" t="s">
        <v>1401</v>
      </c>
      <c r="H369" s="30"/>
    </row>
    <row r="370">
      <c r="A370" s="6">
        <v>370.0</v>
      </c>
      <c r="B370" s="8">
        <v>370.0</v>
      </c>
      <c r="C370" s="8" t="s">
        <v>1511</v>
      </c>
      <c r="D370" s="8" t="s">
        <v>1512</v>
      </c>
      <c r="E370" s="77">
        <v>46208.0</v>
      </c>
      <c r="F370" s="8" t="s">
        <v>1513</v>
      </c>
      <c r="G370" s="12" t="s">
        <v>1401</v>
      </c>
      <c r="H370" s="30"/>
    </row>
    <row r="371">
      <c r="A371" s="6">
        <v>371.0</v>
      </c>
      <c r="B371" s="8">
        <v>371.0</v>
      </c>
      <c r="C371" s="8" t="s">
        <v>1514</v>
      </c>
      <c r="D371" s="8" t="s">
        <v>1515</v>
      </c>
      <c r="E371" s="8" t="s">
        <v>1502</v>
      </c>
      <c r="F371" s="8" t="s">
        <v>233</v>
      </c>
      <c r="G371" s="12" t="s">
        <v>1401</v>
      </c>
      <c r="H371" s="30"/>
    </row>
    <row r="372">
      <c r="A372" s="6">
        <v>372.0</v>
      </c>
      <c r="B372" s="8">
        <v>372.0</v>
      </c>
      <c r="C372" s="69" t="s">
        <v>584</v>
      </c>
      <c r="D372" s="8" t="s">
        <v>1516</v>
      </c>
      <c r="E372" s="69" t="s">
        <v>1517</v>
      </c>
      <c r="F372" s="8" t="s">
        <v>610</v>
      </c>
      <c r="G372" s="12" t="s">
        <v>1401</v>
      </c>
      <c r="H372" s="30"/>
    </row>
    <row r="373">
      <c r="A373" s="6">
        <v>373.0</v>
      </c>
      <c r="B373" s="8">
        <v>373.0</v>
      </c>
      <c r="C373" s="8" t="s">
        <v>1518</v>
      </c>
      <c r="D373" s="8" t="s">
        <v>1519</v>
      </c>
      <c r="E373" s="59">
        <v>46215.0</v>
      </c>
      <c r="F373" s="8" t="s">
        <v>85</v>
      </c>
      <c r="G373" s="12" t="s">
        <v>1401</v>
      </c>
      <c r="H373" s="30"/>
    </row>
    <row r="374">
      <c r="A374" s="6">
        <v>374.0</v>
      </c>
      <c r="B374" s="8">
        <v>374.0</v>
      </c>
      <c r="C374" s="69" t="s">
        <v>1520</v>
      </c>
      <c r="D374" s="8" t="s">
        <v>1521</v>
      </c>
      <c r="E374" s="59">
        <v>46214.0</v>
      </c>
      <c r="F374" s="8" t="s">
        <v>1522</v>
      </c>
      <c r="G374" s="12" t="s">
        <v>1394</v>
      </c>
      <c r="H374" s="30"/>
    </row>
    <row r="375">
      <c r="A375" s="6">
        <v>375.0</v>
      </c>
      <c r="B375" s="8">
        <v>375.0</v>
      </c>
      <c r="C375" s="8" t="s">
        <v>1523</v>
      </c>
      <c r="D375" s="8" t="s">
        <v>1524</v>
      </c>
      <c r="E375" s="59">
        <v>46214.0</v>
      </c>
      <c r="F375" s="8" t="s">
        <v>151</v>
      </c>
      <c r="G375" s="12" t="s">
        <v>1401</v>
      </c>
      <c r="H375" s="30"/>
    </row>
    <row r="376">
      <c r="A376" s="6">
        <v>376.0</v>
      </c>
      <c r="B376" s="8">
        <v>376.0</v>
      </c>
      <c r="C376" s="8" t="s">
        <v>1525</v>
      </c>
      <c r="D376" s="8" t="s">
        <v>1526</v>
      </c>
      <c r="E376" s="59">
        <v>46214.0</v>
      </c>
      <c r="F376" s="8" t="s">
        <v>151</v>
      </c>
      <c r="G376" s="12" t="s">
        <v>1401</v>
      </c>
      <c r="H376" s="30"/>
    </row>
    <row r="377">
      <c r="A377" s="6">
        <v>377.0</v>
      </c>
      <c r="B377" s="8">
        <v>377.0</v>
      </c>
      <c r="C377" s="8" t="s">
        <v>1527</v>
      </c>
      <c r="D377" s="8" t="s">
        <v>142</v>
      </c>
      <c r="E377" s="8" t="s">
        <v>1528</v>
      </c>
      <c r="F377" s="8" t="s">
        <v>233</v>
      </c>
      <c r="G377" s="12" t="s">
        <v>1401</v>
      </c>
      <c r="H377" s="30"/>
    </row>
    <row r="378">
      <c r="A378" s="6">
        <v>378.0</v>
      </c>
      <c r="B378" s="8">
        <v>378.0</v>
      </c>
      <c r="C378" s="8" t="s">
        <v>1529</v>
      </c>
      <c r="D378" s="102" t="s">
        <v>1530</v>
      </c>
      <c r="E378" s="59">
        <v>46222.0</v>
      </c>
      <c r="F378" s="8" t="s">
        <v>1531</v>
      </c>
      <c r="G378" s="12"/>
      <c r="H378" s="30"/>
    </row>
    <row r="379">
      <c r="A379" s="6">
        <v>379.0</v>
      </c>
      <c r="B379" s="8">
        <v>379.0</v>
      </c>
      <c r="C379" s="8" t="s">
        <v>1532</v>
      </c>
      <c r="D379" s="8" t="s">
        <v>1533</v>
      </c>
      <c r="E379" s="59">
        <v>46215.0</v>
      </c>
      <c r="F379" s="8" t="s">
        <v>1534</v>
      </c>
      <c r="G379" s="12"/>
      <c r="H379" s="30"/>
    </row>
    <row r="380">
      <c r="A380" s="6">
        <v>380.0</v>
      </c>
      <c r="B380" s="8">
        <v>380.0</v>
      </c>
      <c r="C380" s="69" t="s">
        <v>1535</v>
      </c>
      <c r="D380" s="8" t="s">
        <v>1536</v>
      </c>
      <c r="E380" s="59">
        <v>46221.0</v>
      </c>
      <c r="F380" s="8" t="s">
        <v>1537</v>
      </c>
      <c r="G380" s="12" t="s">
        <v>1401</v>
      </c>
      <c r="H380" s="30"/>
    </row>
    <row r="381">
      <c r="A381" s="6">
        <v>381.0</v>
      </c>
      <c r="B381" s="8">
        <v>381.0</v>
      </c>
      <c r="C381" s="8" t="s">
        <v>1538</v>
      </c>
      <c r="D381" s="8" t="s">
        <v>1539</v>
      </c>
      <c r="E381" s="8" t="s">
        <v>1540</v>
      </c>
      <c r="F381" s="8" t="s">
        <v>1541</v>
      </c>
      <c r="G381" s="12" t="s">
        <v>1401</v>
      </c>
      <c r="H381" s="30"/>
    </row>
    <row r="382">
      <c r="A382" s="6">
        <v>382.0</v>
      </c>
      <c r="B382" s="8">
        <v>382.0</v>
      </c>
      <c r="C382" s="8" t="s">
        <v>1542</v>
      </c>
      <c r="D382" s="8" t="s">
        <v>1543</v>
      </c>
      <c r="E382" s="59">
        <v>46215.0</v>
      </c>
      <c r="F382" s="8" t="s">
        <v>1544</v>
      </c>
      <c r="G382" s="12" t="s">
        <v>1545</v>
      </c>
      <c r="H382" s="30"/>
    </row>
    <row r="383">
      <c r="A383" s="6">
        <v>383.0</v>
      </c>
      <c r="B383" s="8">
        <v>383.0</v>
      </c>
      <c r="C383" s="8" t="s">
        <v>1546</v>
      </c>
      <c r="D383" s="8" t="s">
        <v>1547</v>
      </c>
      <c r="E383" s="59">
        <v>46213.0</v>
      </c>
      <c r="F383" s="8" t="s">
        <v>1522</v>
      </c>
      <c r="G383" s="12" t="s">
        <v>1545</v>
      </c>
      <c r="H383" s="30"/>
    </row>
    <row r="384">
      <c r="A384" s="6">
        <v>384.0</v>
      </c>
      <c r="B384" s="8">
        <v>384.0</v>
      </c>
      <c r="C384" s="8" t="s">
        <v>1548</v>
      </c>
      <c r="D384" s="8" t="s">
        <v>1549</v>
      </c>
      <c r="E384" s="118" t="s">
        <v>1550</v>
      </c>
      <c r="F384" s="8" t="s">
        <v>233</v>
      </c>
      <c r="G384" s="12" t="s">
        <v>1401</v>
      </c>
      <c r="H384" s="30"/>
    </row>
    <row r="385">
      <c r="A385" s="6">
        <v>385.0</v>
      </c>
      <c r="B385" s="8">
        <v>385.0</v>
      </c>
      <c r="C385" s="8" t="s">
        <v>1551</v>
      </c>
      <c r="D385" s="8" t="s">
        <v>1552</v>
      </c>
      <c r="E385" s="127">
        <v>46215.0</v>
      </c>
      <c r="F385" s="8" t="s">
        <v>1442</v>
      </c>
      <c r="G385" s="12"/>
      <c r="H385" s="30"/>
    </row>
    <row r="386">
      <c r="A386" s="6">
        <v>386.0</v>
      </c>
      <c r="B386" s="8">
        <v>386.0</v>
      </c>
      <c r="C386" s="8" t="s">
        <v>1061</v>
      </c>
      <c r="D386" s="8" t="s">
        <v>1553</v>
      </c>
      <c r="E386" s="8" t="s">
        <v>1554</v>
      </c>
      <c r="F386" s="8" t="s">
        <v>233</v>
      </c>
      <c r="G386" s="12" t="s">
        <v>1401</v>
      </c>
      <c r="H386" s="30"/>
    </row>
    <row r="387">
      <c r="A387" s="6">
        <v>387.0</v>
      </c>
      <c r="B387" s="8">
        <v>387.0</v>
      </c>
      <c r="C387" s="8" t="s">
        <v>1351</v>
      </c>
      <c r="D387" s="8" t="s">
        <v>687</v>
      </c>
      <c r="E387" s="8" t="s">
        <v>1554</v>
      </c>
      <c r="F387" s="8" t="s">
        <v>233</v>
      </c>
      <c r="G387" s="12" t="s">
        <v>1401</v>
      </c>
      <c r="H387" s="30"/>
    </row>
    <row r="388">
      <c r="A388" s="6">
        <v>388.0</v>
      </c>
      <c r="B388" s="8">
        <v>388.0</v>
      </c>
      <c r="C388" s="69" t="s">
        <v>1555</v>
      </c>
      <c r="D388" s="8" t="s">
        <v>1556</v>
      </c>
      <c r="E388" s="59">
        <v>46222.0</v>
      </c>
      <c r="F388" s="8" t="s">
        <v>151</v>
      </c>
      <c r="G388" s="12" t="s">
        <v>1401</v>
      </c>
      <c r="H388" s="30"/>
    </row>
    <row r="389">
      <c r="A389" s="6">
        <v>389.0</v>
      </c>
      <c r="B389" s="8">
        <v>389.0</v>
      </c>
      <c r="C389" s="69" t="s">
        <v>1557</v>
      </c>
      <c r="D389" s="8" t="s">
        <v>1558</v>
      </c>
      <c r="E389" s="59">
        <v>46215.0</v>
      </c>
      <c r="F389" s="8" t="s">
        <v>13</v>
      </c>
      <c r="G389" s="12" t="s">
        <v>1401</v>
      </c>
      <c r="H389" s="30"/>
    </row>
    <row r="390">
      <c r="A390" s="6">
        <v>390.0</v>
      </c>
      <c r="B390" s="8">
        <v>340.0</v>
      </c>
      <c r="C390" s="69" t="s">
        <v>1559</v>
      </c>
      <c r="D390" s="8" t="s">
        <v>1560</v>
      </c>
      <c r="E390" s="59">
        <v>46222.0</v>
      </c>
      <c r="F390" s="8" t="s">
        <v>151</v>
      </c>
      <c r="G390" s="12" t="s">
        <v>1401</v>
      </c>
      <c r="H390" s="30"/>
    </row>
    <row r="391">
      <c r="A391" s="6">
        <v>391.0</v>
      </c>
      <c r="B391" s="8">
        <v>341.0</v>
      </c>
      <c r="C391" s="8" t="s">
        <v>1561</v>
      </c>
      <c r="D391" s="8" t="s">
        <v>1562</v>
      </c>
      <c r="E391" s="59">
        <v>46221.0</v>
      </c>
      <c r="F391" s="8" t="s">
        <v>151</v>
      </c>
      <c r="G391" s="12" t="s">
        <v>1401</v>
      </c>
      <c r="H391" s="30"/>
    </row>
    <row r="392">
      <c r="A392" s="6">
        <v>392.0</v>
      </c>
      <c r="B392" s="8">
        <v>342.0</v>
      </c>
      <c r="C392" s="8" t="s">
        <v>1563</v>
      </c>
      <c r="D392" s="8" t="s">
        <v>1564</v>
      </c>
      <c r="E392" s="59">
        <v>46215.0</v>
      </c>
      <c r="F392" s="8" t="s">
        <v>1565</v>
      </c>
      <c r="G392" s="12" t="s">
        <v>1545</v>
      </c>
      <c r="H392" s="30"/>
    </row>
    <row r="393">
      <c r="A393" s="6">
        <v>393.0</v>
      </c>
      <c r="B393" s="8">
        <v>393.0</v>
      </c>
      <c r="C393" s="8" t="s">
        <v>1566</v>
      </c>
      <c r="D393" s="8" t="s">
        <v>780</v>
      </c>
      <c r="E393" s="59">
        <v>46215.0</v>
      </c>
      <c r="F393" s="8" t="s">
        <v>233</v>
      </c>
      <c r="G393" s="12" t="s">
        <v>1401</v>
      </c>
      <c r="H393" s="30"/>
    </row>
    <row r="394">
      <c r="A394" s="6">
        <v>394.0</v>
      </c>
      <c r="B394" s="8">
        <v>394.0</v>
      </c>
      <c r="C394" s="69" t="s">
        <v>1567</v>
      </c>
      <c r="D394" s="8" t="s">
        <v>1568</v>
      </c>
      <c r="E394" s="59">
        <v>46215.0</v>
      </c>
      <c r="F394" s="8" t="s">
        <v>151</v>
      </c>
      <c r="G394" s="12" t="s">
        <v>1401</v>
      </c>
      <c r="H394" s="30"/>
    </row>
    <row r="395">
      <c r="A395" s="6">
        <v>395.0</v>
      </c>
      <c r="B395" s="8">
        <v>395.0</v>
      </c>
      <c r="C395" s="8" t="s">
        <v>1569</v>
      </c>
      <c r="D395" s="8" t="s">
        <v>1570</v>
      </c>
      <c r="E395" s="59">
        <v>46222.0</v>
      </c>
      <c r="F395" s="8" t="s">
        <v>151</v>
      </c>
      <c r="G395" s="12" t="s">
        <v>1545</v>
      </c>
      <c r="H395" s="30"/>
    </row>
    <row r="396">
      <c r="A396" s="6">
        <v>396.0</v>
      </c>
      <c r="B396" s="8">
        <v>396.0</v>
      </c>
      <c r="C396" s="8" t="s">
        <v>1571</v>
      </c>
      <c r="D396" s="8" t="s">
        <v>1572</v>
      </c>
      <c r="E396" s="59">
        <v>46218.0</v>
      </c>
      <c r="F396" s="8" t="s">
        <v>1573</v>
      </c>
      <c r="G396" s="12" t="s">
        <v>1484</v>
      </c>
      <c r="H396" s="30"/>
    </row>
    <row r="397">
      <c r="A397" s="6">
        <v>397.0</v>
      </c>
      <c r="B397" s="8">
        <v>397.0</v>
      </c>
      <c r="C397" s="8" t="s">
        <v>1574</v>
      </c>
      <c r="D397" s="47"/>
      <c r="E397" s="59">
        <v>46264.0</v>
      </c>
      <c r="F397" s="8" t="s">
        <v>1204</v>
      </c>
      <c r="G397" s="154">
        <v>46222.0</v>
      </c>
      <c r="H397" s="30"/>
    </row>
    <row r="398">
      <c r="A398" s="6">
        <v>398.0</v>
      </c>
      <c r="B398" s="8">
        <v>398.0</v>
      </c>
      <c r="C398" s="8" t="s">
        <v>1575</v>
      </c>
      <c r="D398" s="47"/>
      <c r="E398" s="59">
        <v>46236.0</v>
      </c>
      <c r="F398" s="8" t="s">
        <v>1522</v>
      </c>
      <c r="G398" s="12" t="s">
        <v>1484</v>
      </c>
      <c r="H398" s="30"/>
    </row>
    <row r="399">
      <c r="A399" s="6">
        <v>399.0</v>
      </c>
      <c r="B399" s="8">
        <v>399.0</v>
      </c>
      <c r="C399" s="8" t="s">
        <v>182</v>
      </c>
      <c r="D399" s="8" t="s">
        <v>1135</v>
      </c>
      <c r="E399" s="113" t="s">
        <v>1576</v>
      </c>
      <c r="F399" s="8" t="s">
        <v>13</v>
      </c>
      <c r="G399" s="12" t="s">
        <v>1401</v>
      </c>
      <c r="H399" s="30"/>
    </row>
    <row r="400">
      <c r="A400" s="6">
        <v>400.0</v>
      </c>
      <c r="B400" s="8">
        <v>400.0</v>
      </c>
      <c r="C400" s="8" t="s">
        <v>339</v>
      </c>
      <c r="D400" s="8" t="s">
        <v>1577</v>
      </c>
      <c r="E400" s="8" t="s">
        <v>1578</v>
      </c>
      <c r="F400" s="8" t="s">
        <v>13</v>
      </c>
      <c r="G400" s="12" t="s">
        <v>1401</v>
      </c>
      <c r="H400" s="30"/>
    </row>
    <row r="401">
      <c r="A401" s="6">
        <v>401.0</v>
      </c>
      <c r="B401" s="8">
        <v>401.0</v>
      </c>
      <c r="C401" s="8" t="s">
        <v>1579</v>
      </c>
      <c r="D401" s="8" t="s">
        <v>1580</v>
      </c>
      <c r="E401" s="121">
        <v>46222.0</v>
      </c>
      <c r="F401" s="8" t="s">
        <v>1581</v>
      </c>
      <c r="G401" s="12" t="s">
        <v>1484</v>
      </c>
      <c r="H401" s="30"/>
    </row>
    <row r="402">
      <c r="A402" s="6">
        <v>402.0</v>
      </c>
      <c r="B402" s="8">
        <v>402.0</v>
      </c>
      <c r="C402" s="8" t="s">
        <v>106</v>
      </c>
      <c r="D402" s="8" t="s">
        <v>1139</v>
      </c>
      <c r="E402" s="118" t="s">
        <v>1582</v>
      </c>
      <c r="F402" s="8" t="s">
        <v>13</v>
      </c>
      <c r="G402" s="12" t="s">
        <v>1401</v>
      </c>
      <c r="H402" s="30"/>
    </row>
    <row r="403">
      <c r="A403" s="6">
        <v>403.0</v>
      </c>
      <c r="B403" s="8">
        <v>403.0</v>
      </c>
      <c r="C403" s="8" t="s">
        <v>1583</v>
      </c>
      <c r="D403" s="8" t="s">
        <v>1584</v>
      </c>
      <c r="E403" s="127">
        <v>46229.0</v>
      </c>
      <c r="F403" s="8" t="s">
        <v>1585</v>
      </c>
      <c r="G403" s="30"/>
      <c r="H403" s="30"/>
    </row>
    <row r="404">
      <c r="A404" s="6">
        <v>404.0</v>
      </c>
      <c r="B404" s="8">
        <v>404.0</v>
      </c>
      <c r="C404" s="8" t="s">
        <v>1586</v>
      </c>
      <c r="D404" s="8" t="s">
        <v>1587</v>
      </c>
      <c r="E404" s="59">
        <v>45492.0</v>
      </c>
      <c r="F404" s="8" t="s">
        <v>1478</v>
      </c>
      <c r="G404" s="30"/>
      <c r="H404" s="30"/>
    </row>
    <row r="405">
      <c r="A405" s="6">
        <v>405.0</v>
      </c>
      <c r="B405" s="8">
        <v>405.0</v>
      </c>
      <c r="C405" s="69" t="s">
        <v>1588</v>
      </c>
      <c r="D405" s="8" t="s">
        <v>1589</v>
      </c>
      <c r="E405" s="59">
        <v>46222.0</v>
      </c>
      <c r="F405" s="8" t="s">
        <v>1590</v>
      </c>
      <c r="G405" s="12" t="s">
        <v>1401</v>
      </c>
      <c r="H405" s="30"/>
    </row>
    <row r="406">
      <c r="A406" s="6">
        <v>406.0</v>
      </c>
      <c r="B406" s="8">
        <v>406.0</v>
      </c>
      <c r="C406" s="8" t="s">
        <v>667</v>
      </c>
      <c r="D406" s="8" t="s">
        <v>1591</v>
      </c>
      <c r="E406" s="69" t="s">
        <v>1592</v>
      </c>
      <c r="F406" s="8" t="s">
        <v>233</v>
      </c>
      <c r="G406" s="12" t="s">
        <v>1401</v>
      </c>
      <c r="H406" s="30"/>
    </row>
    <row r="407">
      <c r="A407" s="6">
        <v>407.0</v>
      </c>
      <c r="B407" s="8">
        <v>407.0</v>
      </c>
      <c r="C407" s="8" t="s">
        <v>1593</v>
      </c>
      <c r="D407" s="8" t="s">
        <v>1594</v>
      </c>
      <c r="E407" s="59">
        <v>46228.0</v>
      </c>
      <c r="F407" s="8" t="s">
        <v>874</v>
      </c>
      <c r="G407" s="12" t="s">
        <v>1401</v>
      </c>
      <c r="H407" s="30"/>
    </row>
    <row r="408">
      <c r="A408" s="6">
        <v>408.0</v>
      </c>
      <c r="B408" s="8">
        <v>408.0</v>
      </c>
      <c r="C408" s="8" t="s">
        <v>1595</v>
      </c>
      <c r="D408" s="8" t="s">
        <v>1596</v>
      </c>
      <c r="E408" s="59">
        <v>46228.0</v>
      </c>
      <c r="F408" s="8" t="s">
        <v>463</v>
      </c>
      <c r="G408" s="12" t="s">
        <v>1484</v>
      </c>
      <c r="H408" s="30"/>
    </row>
    <row r="409">
      <c r="A409" s="6">
        <v>409.0</v>
      </c>
      <c r="B409" s="8">
        <v>409.0</v>
      </c>
      <c r="C409" s="8" t="s">
        <v>1597</v>
      </c>
      <c r="D409" s="8" t="s">
        <v>1598</v>
      </c>
      <c r="E409" s="59">
        <v>46229.0</v>
      </c>
      <c r="F409" s="8" t="s">
        <v>1599</v>
      </c>
      <c r="G409" s="12" t="s">
        <v>1545</v>
      </c>
      <c r="H409" s="30"/>
    </row>
    <row r="410">
      <c r="A410" s="6">
        <v>410.0</v>
      </c>
      <c r="B410" s="8">
        <v>410.0</v>
      </c>
      <c r="C410" s="8" t="s">
        <v>1600</v>
      </c>
      <c r="D410" s="8" t="s">
        <v>1601</v>
      </c>
      <c r="E410" s="59">
        <v>46247.0</v>
      </c>
      <c r="F410" s="8" t="s">
        <v>1602</v>
      </c>
      <c r="G410" s="30"/>
      <c r="H410" s="30"/>
    </row>
    <row r="411">
      <c r="A411" s="6">
        <v>411.0</v>
      </c>
      <c r="B411" s="8">
        <v>411.0</v>
      </c>
      <c r="C411" s="8" t="s">
        <v>1603</v>
      </c>
      <c r="D411" s="8" t="s">
        <v>1604</v>
      </c>
      <c r="E411" s="59">
        <v>46235.0</v>
      </c>
      <c r="F411" s="8" t="s">
        <v>1478</v>
      </c>
      <c r="G411" s="12" t="s">
        <v>1484</v>
      </c>
      <c r="H411" s="30"/>
    </row>
    <row r="412">
      <c r="A412" s="6">
        <v>412.0</v>
      </c>
      <c r="B412" s="8">
        <v>412.0</v>
      </c>
      <c r="C412" s="8" t="s">
        <v>1605</v>
      </c>
      <c r="D412" s="8" t="s">
        <v>1606</v>
      </c>
      <c r="E412" s="59">
        <v>46228.0</v>
      </c>
      <c r="F412" s="8" t="s">
        <v>1607</v>
      </c>
      <c r="G412" s="30"/>
      <c r="H412" s="30"/>
    </row>
    <row r="413">
      <c r="A413" s="6">
        <v>413.0</v>
      </c>
      <c r="B413" s="8">
        <v>413.0</v>
      </c>
      <c r="C413" s="69" t="s">
        <v>1608</v>
      </c>
      <c r="D413" s="8" t="s">
        <v>1609</v>
      </c>
      <c r="E413" s="59">
        <v>46228.0</v>
      </c>
      <c r="F413" s="8" t="s">
        <v>1607</v>
      </c>
      <c r="G413" s="12" t="s">
        <v>1610</v>
      </c>
      <c r="H413" s="30"/>
    </row>
    <row r="414">
      <c r="A414" s="6">
        <v>414.0</v>
      </c>
      <c r="B414" s="8">
        <v>414.0</v>
      </c>
      <c r="C414" s="8" t="s">
        <v>1611</v>
      </c>
      <c r="D414" s="8" t="s">
        <v>1612</v>
      </c>
      <c r="E414" s="59">
        <v>46228.0</v>
      </c>
      <c r="F414" s="8" t="s">
        <v>1613</v>
      </c>
      <c r="G414" s="30"/>
      <c r="H414" s="30"/>
    </row>
    <row r="415">
      <c r="A415" s="6">
        <v>415.0</v>
      </c>
      <c r="B415" s="8">
        <v>415.0</v>
      </c>
      <c r="C415" s="8" t="s">
        <v>1614</v>
      </c>
      <c r="D415" s="8" t="s">
        <v>1615</v>
      </c>
      <c r="E415" s="59">
        <v>46229.0</v>
      </c>
      <c r="F415" s="8" t="s">
        <v>1522</v>
      </c>
      <c r="G415" s="12" t="s">
        <v>1401</v>
      </c>
      <c r="H415" s="30"/>
    </row>
    <row r="416">
      <c r="A416" s="6">
        <v>416.0</v>
      </c>
      <c r="B416" s="8">
        <v>416.0</v>
      </c>
      <c r="C416" s="8" t="s">
        <v>1616</v>
      </c>
      <c r="D416" s="8" t="s">
        <v>1617</v>
      </c>
      <c r="E416" s="59">
        <v>46236.0</v>
      </c>
      <c r="F416" s="8" t="s">
        <v>1618</v>
      </c>
      <c r="G416" s="12" t="s">
        <v>1401</v>
      </c>
      <c r="H416" s="30"/>
    </row>
    <row r="417">
      <c r="A417" s="6">
        <v>417.0</v>
      </c>
      <c r="B417" s="8">
        <v>417.0</v>
      </c>
      <c r="C417" s="8" t="s">
        <v>1616</v>
      </c>
      <c r="D417" s="8" t="s">
        <v>1619</v>
      </c>
      <c r="E417" s="59">
        <v>46236.0</v>
      </c>
      <c r="F417" s="8" t="s">
        <v>1618</v>
      </c>
      <c r="G417" s="12" t="s">
        <v>1545</v>
      </c>
      <c r="H417" s="30"/>
    </row>
    <row r="418">
      <c r="A418" s="6">
        <v>418.0</v>
      </c>
      <c r="B418" s="8">
        <v>418.0</v>
      </c>
      <c r="C418" s="75" t="s">
        <v>1620</v>
      </c>
      <c r="D418" s="8" t="s">
        <v>1549</v>
      </c>
      <c r="E418" s="118" t="s">
        <v>1621</v>
      </c>
      <c r="F418" s="8" t="s">
        <v>233</v>
      </c>
      <c r="G418" s="12" t="s">
        <v>1401</v>
      </c>
      <c r="H418" s="30"/>
    </row>
    <row r="419">
      <c r="A419" s="6">
        <v>419.0</v>
      </c>
      <c r="B419" s="8">
        <v>419.0</v>
      </c>
      <c r="C419" s="8" t="s">
        <v>1622</v>
      </c>
      <c r="D419" s="8" t="s">
        <v>1623</v>
      </c>
      <c r="E419" s="127">
        <v>46236.0</v>
      </c>
      <c r="F419" s="8" t="s">
        <v>1624</v>
      </c>
      <c r="G419" s="12" t="s">
        <v>1545</v>
      </c>
      <c r="H419" s="30"/>
    </row>
    <row r="420">
      <c r="A420" s="6">
        <v>420.0</v>
      </c>
      <c r="B420" s="8">
        <v>420.0</v>
      </c>
      <c r="C420" s="8" t="s">
        <v>187</v>
      </c>
      <c r="D420" s="8" t="s">
        <v>1015</v>
      </c>
      <c r="E420" s="117" t="s">
        <v>1625</v>
      </c>
      <c r="F420" s="8" t="s">
        <v>233</v>
      </c>
      <c r="G420" s="12" t="s">
        <v>1401</v>
      </c>
      <c r="H420" s="30"/>
    </row>
    <row r="421">
      <c r="A421" s="6">
        <v>421.0</v>
      </c>
      <c r="B421" s="8">
        <v>421.0</v>
      </c>
      <c r="C421" s="8" t="s">
        <v>1626</v>
      </c>
      <c r="D421" s="8" t="s">
        <v>1627</v>
      </c>
      <c r="E421" s="8" t="s">
        <v>1628</v>
      </c>
      <c r="F421" s="8" t="s">
        <v>233</v>
      </c>
      <c r="G421" s="12" t="s">
        <v>1401</v>
      </c>
      <c r="H421" s="30"/>
    </row>
    <row r="422">
      <c r="A422" s="6">
        <v>422.0</v>
      </c>
      <c r="B422" s="8">
        <v>422.0</v>
      </c>
      <c r="C422" s="8" t="s">
        <v>1629</v>
      </c>
      <c r="D422" s="8" t="s">
        <v>1630</v>
      </c>
      <c r="E422" s="59">
        <v>46234.0</v>
      </c>
      <c r="F422" s="8" t="s">
        <v>1631</v>
      </c>
      <c r="G422" s="12" t="s">
        <v>1632</v>
      </c>
      <c r="H422" s="30"/>
    </row>
    <row r="423">
      <c r="A423" s="6">
        <v>423.0</v>
      </c>
      <c r="B423" s="8">
        <v>423.0</v>
      </c>
      <c r="C423" s="8" t="s">
        <v>1629</v>
      </c>
      <c r="D423" s="8" t="s">
        <v>1633</v>
      </c>
      <c r="E423" s="59">
        <v>46235.0</v>
      </c>
      <c r="F423" s="8" t="s">
        <v>1634</v>
      </c>
      <c r="G423" s="12" t="s">
        <v>1610</v>
      </c>
      <c r="H423" s="30"/>
    </row>
    <row r="424">
      <c r="A424" s="6">
        <v>424.0</v>
      </c>
      <c r="B424" s="8">
        <v>424.0</v>
      </c>
      <c r="C424" s="8" t="s">
        <v>531</v>
      </c>
      <c r="D424" s="8" t="s">
        <v>1635</v>
      </c>
      <c r="E424" s="69" t="s">
        <v>1636</v>
      </c>
      <c r="F424" s="8" t="s">
        <v>13</v>
      </c>
      <c r="G424" s="12" t="s">
        <v>1401</v>
      </c>
      <c r="H424" s="30"/>
    </row>
    <row r="425">
      <c r="A425" s="6">
        <v>425.0</v>
      </c>
      <c r="B425" s="8">
        <v>425.0</v>
      </c>
      <c r="C425" s="8" t="s">
        <v>667</v>
      </c>
      <c r="D425" s="8" t="s">
        <v>1637</v>
      </c>
      <c r="E425" s="8" t="s">
        <v>1638</v>
      </c>
      <c r="F425" s="8" t="s">
        <v>13</v>
      </c>
      <c r="G425" s="12" t="s">
        <v>1401</v>
      </c>
      <c r="H425" s="30"/>
    </row>
    <row r="426">
      <c r="A426" s="6">
        <v>426.0</v>
      </c>
      <c r="B426" s="8">
        <v>426.0</v>
      </c>
      <c r="C426" s="8" t="s">
        <v>1639</v>
      </c>
      <c r="D426" s="8" t="s">
        <v>1640</v>
      </c>
      <c r="E426" s="59">
        <v>46236.0</v>
      </c>
      <c r="F426" s="8" t="s">
        <v>151</v>
      </c>
      <c r="G426" s="12" t="s">
        <v>1401</v>
      </c>
      <c r="H426" s="30"/>
    </row>
    <row r="427">
      <c r="A427" s="6">
        <v>427.0</v>
      </c>
      <c r="B427" s="8">
        <v>427.0</v>
      </c>
      <c r="C427" s="8" t="s">
        <v>1641</v>
      </c>
      <c r="D427" s="8" t="s">
        <v>1642</v>
      </c>
      <c r="E427" s="69" t="s">
        <v>1643</v>
      </c>
      <c r="F427" s="8" t="s">
        <v>13</v>
      </c>
      <c r="G427" s="12" t="s">
        <v>1401</v>
      </c>
      <c r="H427" s="30"/>
    </row>
    <row r="428">
      <c r="A428" s="6">
        <v>428.0</v>
      </c>
      <c r="B428" s="8">
        <v>428.0</v>
      </c>
      <c r="C428" s="8" t="s">
        <v>1644</v>
      </c>
      <c r="D428" s="8" t="s">
        <v>1645</v>
      </c>
      <c r="E428" s="59">
        <v>46236.0</v>
      </c>
      <c r="F428" s="8" t="s">
        <v>151</v>
      </c>
      <c r="G428" s="30"/>
      <c r="H428" s="30"/>
    </row>
    <row r="429">
      <c r="A429" s="6">
        <v>429.0</v>
      </c>
      <c r="B429" s="8">
        <v>429.0</v>
      </c>
      <c r="C429" s="8" t="s">
        <v>1646</v>
      </c>
      <c r="D429" s="8" t="s">
        <v>1647</v>
      </c>
      <c r="E429" s="59">
        <v>46236.0</v>
      </c>
      <c r="F429" s="8" t="s">
        <v>1648</v>
      </c>
      <c r="G429" s="30"/>
      <c r="H429" s="30"/>
    </row>
    <row r="430">
      <c r="A430" s="6">
        <v>430.0</v>
      </c>
      <c r="B430" s="8">
        <v>430.0</v>
      </c>
      <c r="C430" s="8" t="s">
        <v>211</v>
      </c>
      <c r="D430" s="8" t="s">
        <v>1649</v>
      </c>
      <c r="E430" s="69" t="s">
        <v>1650</v>
      </c>
      <c r="F430" s="8" t="s">
        <v>13</v>
      </c>
      <c r="G430" s="12" t="s">
        <v>1401</v>
      </c>
      <c r="H430" s="30"/>
    </row>
    <row r="431">
      <c r="A431" s="6">
        <v>431.0</v>
      </c>
      <c r="B431" s="8">
        <v>431.0</v>
      </c>
      <c r="C431" s="8" t="s">
        <v>1651</v>
      </c>
      <c r="D431" s="8" t="s">
        <v>1652</v>
      </c>
      <c r="E431" s="59">
        <v>46245.0</v>
      </c>
      <c r="F431" s="8" t="s">
        <v>1653</v>
      </c>
      <c r="G431" s="12" t="s">
        <v>1610</v>
      </c>
      <c r="H431" s="30"/>
    </row>
    <row r="432">
      <c r="A432" s="6">
        <v>432.0</v>
      </c>
      <c r="B432" s="8">
        <v>432.0</v>
      </c>
      <c r="C432" s="8" t="s">
        <v>1654</v>
      </c>
      <c r="D432" s="8" t="s">
        <v>1655</v>
      </c>
      <c r="E432" s="77">
        <v>46243.0</v>
      </c>
      <c r="F432" s="8" t="s">
        <v>1462</v>
      </c>
      <c r="G432" s="12" t="s">
        <v>1656</v>
      </c>
      <c r="H432" s="30"/>
    </row>
    <row r="433">
      <c r="A433" s="6">
        <v>433.0</v>
      </c>
      <c r="B433" s="8">
        <v>433.0</v>
      </c>
      <c r="C433" s="8" t="s">
        <v>1657</v>
      </c>
      <c r="D433" s="8" t="s">
        <v>1652</v>
      </c>
      <c r="E433" s="47"/>
      <c r="F433" s="47"/>
      <c r="G433" s="30"/>
      <c r="H433" s="30"/>
    </row>
    <row r="434">
      <c r="A434" s="6">
        <v>434.0</v>
      </c>
      <c r="B434" s="8">
        <v>434.0</v>
      </c>
      <c r="C434" s="8" t="s">
        <v>1658</v>
      </c>
      <c r="D434" s="8" t="s">
        <v>1659</v>
      </c>
      <c r="E434" s="8" t="s">
        <v>1660</v>
      </c>
      <c r="F434" s="8" t="s">
        <v>1661</v>
      </c>
      <c r="G434" s="12" t="s">
        <v>1610</v>
      </c>
      <c r="H434" s="30"/>
    </row>
    <row r="435">
      <c r="A435" s="6">
        <v>435.0</v>
      </c>
      <c r="B435" s="47"/>
      <c r="C435" s="47"/>
      <c r="D435" s="47"/>
      <c r="E435" s="47"/>
      <c r="F435" s="47"/>
      <c r="G435" s="30"/>
      <c r="H435" s="30"/>
    </row>
    <row r="436">
      <c r="A436" s="6">
        <v>436.0</v>
      </c>
      <c r="B436" s="47"/>
      <c r="C436" s="47"/>
      <c r="D436" s="47"/>
      <c r="E436" s="47"/>
      <c r="F436" s="47"/>
      <c r="G436" s="30"/>
      <c r="H436" s="30"/>
    </row>
    <row r="437">
      <c r="A437" s="6">
        <v>437.0</v>
      </c>
      <c r="B437" s="47"/>
      <c r="C437" s="47"/>
      <c r="D437" s="47"/>
      <c r="E437" s="47"/>
      <c r="F437" s="47"/>
      <c r="G437" s="30"/>
      <c r="H437" s="30"/>
    </row>
    <row r="438">
      <c r="A438" s="6">
        <v>438.0</v>
      </c>
      <c r="B438" s="47"/>
      <c r="C438" s="47"/>
      <c r="D438" s="47"/>
      <c r="E438" s="47"/>
      <c r="F438" s="47"/>
      <c r="G438" s="30"/>
      <c r="H438" s="30"/>
    </row>
    <row r="439">
      <c r="A439" s="6">
        <v>439.0</v>
      </c>
      <c r="B439" s="47"/>
      <c r="C439" s="47"/>
      <c r="D439" s="47"/>
      <c r="E439" s="47"/>
      <c r="F439" s="47"/>
      <c r="G439" s="30"/>
      <c r="H439" s="30"/>
    </row>
    <row r="440">
      <c r="A440" s="6">
        <v>440.0</v>
      </c>
      <c r="B440" s="47"/>
      <c r="C440" s="47"/>
      <c r="D440" s="47"/>
      <c r="E440" s="47"/>
      <c r="F440" s="47"/>
      <c r="G440" s="30"/>
      <c r="H440" s="30"/>
    </row>
    <row r="441">
      <c r="A441" s="6">
        <v>441.0</v>
      </c>
      <c r="B441" s="47"/>
      <c r="C441" s="47"/>
      <c r="D441" s="47"/>
      <c r="E441" s="47"/>
      <c r="F441" s="47"/>
      <c r="G441" s="30"/>
      <c r="H441" s="30"/>
    </row>
    <row r="442">
      <c r="A442" s="6">
        <v>442.0</v>
      </c>
      <c r="B442" s="47"/>
      <c r="C442" s="47"/>
      <c r="D442" s="47"/>
      <c r="E442" s="47"/>
      <c r="F442" s="47"/>
      <c r="G442" s="30"/>
      <c r="H442" s="30"/>
    </row>
    <row r="443">
      <c r="A443" s="6">
        <v>443.0</v>
      </c>
      <c r="B443" s="47"/>
      <c r="C443" s="47"/>
      <c r="D443" s="47"/>
      <c r="E443" s="47"/>
      <c r="F443" s="47"/>
      <c r="G443" s="30"/>
      <c r="H443" s="30"/>
    </row>
    <row r="444">
      <c r="A444" s="6">
        <v>444.0</v>
      </c>
      <c r="B444" s="47"/>
      <c r="C444" s="47"/>
      <c r="D444" s="47"/>
      <c r="E444" s="47"/>
      <c r="F444" s="47"/>
      <c r="G444" s="30"/>
      <c r="H444" s="30"/>
    </row>
    <row r="445">
      <c r="A445" s="6">
        <v>445.0</v>
      </c>
      <c r="B445" s="47"/>
      <c r="C445" s="47"/>
      <c r="D445" s="47"/>
      <c r="E445" s="47"/>
      <c r="F445" s="47"/>
      <c r="G445" s="30"/>
      <c r="H445" s="30"/>
    </row>
    <row r="446">
      <c r="A446" s="6">
        <v>446.0</v>
      </c>
      <c r="B446" s="47"/>
      <c r="C446" s="47"/>
      <c r="D446" s="47"/>
      <c r="E446" s="47"/>
      <c r="F446" s="47"/>
      <c r="G446" s="30"/>
      <c r="H446" s="30"/>
    </row>
    <row r="447">
      <c r="A447" s="6">
        <v>447.0</v>
      </c>
      <c r="B447" s="47"/>
      <c r="C447" s="47"/>
      <c r="D447" s="47"/>
      <c r="E447" s="47"/>
      <c r="F447" s="47"/>
      <c r="G447" s="30"/>
      <c r="H447" s="30"/>
    </row>
    <row r="448">
      <c r="A448" s="6">
        <v>448.0</v>
      </c>
      <c r="B448" s="47"/>
      <c r="C448" s="47"/>
      <c r="D448" s="47"/>
      <c r="E448" s="47"/>
      <c r="F448" s="47"/>
      <c r="G448" s="30"/>
      <c r="H448" s="30"/>
    </row>
    <row r="449">
      <c r="A449" s="6">
        <v>449.0</v>
      </c>
      <c r="B449" s="47"/>
      <c r="C449" s="47"/>
      <c r="D449" s="47"/>
      <c r="E449" s="47"/>
      <c r="F449" s="47"/>
      <c r="G449" s="30"/>
      <c r="H449" s="30"/>
    </row>
    <row r="450">
      <c r="A450" s="6">
        <v>450.0</v>
      </c>
      <c r="B450" s="47"/>
      <c r="C450" s="47"/>
      <c r="D450" s="47"/>
      <c r="E450" s="47"/>
      <c r="F450" s="47"/>
      <c r="G450" s="30"/>
      <c r="H450" s="30"/>
    </row>
    <row r="451">
      <c r="A451" s="6">
        <v>451.0</v>
      </c>
      <c r="B451" s="47"/>
      <c r="C451" s="47"/>
      <c r="D451" s="47"/>
      <c r="E451" s="47"/>
      <c r="F451" s="47"/>
      <c r="G451" s="30"/>
      <c r="H451" s="30"/>
    </row>
    <row r="452">
      <c r="A452" s="6">
        <v>452.0</v>
      </c>
      <c r="B452" s="47"/>
      <c r="C452" s="47"/>
      <c r="D452" s="47"/>
      <c r="E452" s="47"/>
      <c r="F452" s="47"/>
      <c r="G452" s="30"/>
      <c r="H452" s="30"/>
    </row>
    <row r="453">
      <c r="A453" s="6">
        <v>453.0</v>
      </c>
      <c r="B453" s="47"/>
      <c r="C453" s="47"/>
      <c r="D453" s="47"/>
      <c r="E453" s="47"/>
      <c r="F453" s="47"/>
      <c r="G453" s="30"/>
      <c r="H453" s="30"/>
    </row>
    <row r="454">
      <c r="A454" s="6">
        <v>454.0</v>
      </c>
      <c r="B454" s="47"/>
      <c r="C454" s="47"/>
      <c r="D454" s="47"/>
      <c r="E454" s="47"/>
      <c r="F454" s="47"/>
      <c r="G454" s="30"/>
      <c r="H454" s="30"/>
    </row>
    <row r="455">
      <c r="A455" s="6">
        <v>455.0</v>
      </c>
      <c r="B455" s="47"/>
      <c r="C455" s="47"/>
      <c r="D455" s="47"/>
      <c r="E455" s="47"/>
      <c r="F455" s="47"/>
      <c r="G455" s="30"/>
      <c r="H455" s="30"/>
    </row>
    <row r="456">
      <c r="A456" s="6">
        <v>456.0</v>
      </c>
      <c r="B456" s="47"/>
      <c r="C456" s="47"/>
      <c r="D456" s="47"/>
      <c r="E456" s="47"/>
      <c r="F456" s="47"/>
      <c r="G456" s="30"/>
      <c r="H456" s="30"/>
    </row>
    <row r="457">
      <c r="A457" s="6">
        <v>457.0</v>
      </c>
      <c r="B457" s="47"/>
      <c r="C457" s="47"/>
      <c r="D457" s="47"/>
      <c r="E457" s="47"/>
      <c r="F457" s="47"/>
      <c r="G457" s="30"/>
      <c r="H457" s="30"/>
    </row>
    <row r="458">
      <c r="A458" s="6">
        <v>458.0</v>
      </c>
      <c r="B458" s="47"/>
      <c r="C458" s="47"/>
      <c r="D458" s="47"/>
      <c r="E458" s="47"/>
      <c r="F458" s="47"/>
      <c r="G458" s="30"/>
      <c r="H458" s="30"/>
    </row>
    <row r="459">
      <c r="A459" s="6">
        <v>459.0</v>
      </c>
      <c r="B459" s="47"/>
      <c r="C459" s="47"/>
      <c r="D459" s="47"/>
      <c r="E459" s="47"/>
      <c r="F459" s="47"/>
      <c r="G459" s="30"/>
      <c r="H459" s="30"/>
    </row>
    <row r="460">
      <c r="A460" s="6">
        <v>460.0</v>
      </c>
      <c r="B460" s="47"/>
      <c r="C460" s="47"/>
      <c r="D460" s="47"/>
      <c r="E460" s="47"/>
      <c r="F460" s="47"/>
      <c r="G460" s="30"/>
      <c r="H460" s="30"/>
    </row>
    <row r="461">
      <c r="A461" s="6">
        <v>461.0</v>
      </c>
      <c r="B461" s="47"/>
      <c r="C461" s="47"/>
      <c r="D461" s="47"/>
      <c r="E461" s="47"/>
      <c r="F461" s="47"/>
      <c r="G461" s="30"/>
      <c r="H461" s="30"/>
    </row>
    <row r="462">
      <c r="A462" s="6">
        <v>462.0</v>
      </c>
      <c r="B462" s="47"/>
      <c r="C462" s="47"/>
      <c r="D462" s="47"/>
      <c r="E462" s="47"/>
      <c r="F462" s="47"/>
      <c r="G462" s="30"/>
      <c r="H462" s="30"/>
    </row>
    <row r="463">
      <c r="A463" s="6">
        <v>463.0</v>
      </c>
      <c r="B463" s="47"/>
      <c r="C463" s="47"/>
      <c r="D463" s="47"/>
      <c r="E463" s="47"/>
      <c r="F463" s="47"/>
      <c r="G463" s="30"/>
      <c r="H463" s="30"/>
    </row>
    <row r="464">
      <c r="A464" s="6">
        <v>464.0</v>
      </c>
      <c r="B464" s="47"/>
      <c r="C464" s="47"/>
      <c r="D464" s="47"/>
      <c r="E464" s="47"/>
      <c r="F464" s="47"/>
      <c r="G464" s="30"/>
      <c r="H464" s="30"/>
    </row>
    <row r="465">
      <c r="A465" s="6">
        <v>465.0</v>
      </c>
      <c r="B465" s="47"/>
      <c r="C465" s="47"/>
      <c r="D465" s="47"/>
      <c r="E465" s="47"/>
      <c r="F465" s="47"/>
      <c r="G465" s="30"/>
      <c r="H465" s="30"/>
    </row>
    <row r="466">
      <c r="A466" s="6">
        <v>466.0</v>
      </c>
      <c r="B466" s="47"/>
      <c r="C466" s="47"/>
      <c r="D466" s="47"/>
      <c r="E466" s="47"/>
      <c r="F466" s="47"/>
      <c r="G466" s="30"/>
      <c r="H466" s="30"/>
    </row>
    <row r="467">
      <c r="A467" s="6">
        <v>467.0</v>
      </c>
      <c r="B467" s="47"/>
      <c r="C467" s="47"/>
      <c r="D467" s="47"/>
      <c r="E467" s="47"/>
      <c r="F467" s="47"/>
      <c r="G467" s="30"/>
      <c r="H467" s="30"/>
    </row>
    <row r="468">
      <c r="A468" s="6">
        <v>468.0</v>
      </c>
      <c r="B468" s="47"/>
      <c r="C468" s="47"/>
      <c r="D468" s="47"/>
      <c r="E468" s="47"/>
      <c r="F468" s="47"/>
      <c r="G468" s="30"/>
      <c r="H468" s="30"/>
    </row>
    <row r="469">
      <c r="A469" s="6">
        <v>469.0</v>
      </c>
      <c r="B469" s="47"/>
      <c r="C469" s="47"/>
      <c r="D469" s="47"/>
      <c r="E469" s="47"/>
      <c r="F469" s="47"/>
      <c r="G469" s="30"/>
      <c r="H469" s="30"/>
    </row>
    <row r="470">
      <c r="A470" s="6">
        <v>470.0</v>
      </c>
      <c r="B470" s="47"/>
      <c r="C470" s="47"/>
      <c r="D470" s="47"/>
      <c r="E470" s="47"/>
      <c r="F470" s="47"/>
      <c r="G470" s="30"/>
      <c r="H470" s="30"/>
    </row>
    <row r="471">
      <c r="A471" s="6">
        <v>471.0</v>
      </c>
      <c r="B471" s="47"/>
      <c r="C471" s="47"/>
      <c r="D471" s="47"/>
      <c r="E471" s="47"/>
      <c r="F471" s="47"/>
      <c r="G471" s="30"/>
      <c r="H471" s="30"/>
    </row>
    <row r="472">
      <c r="A472" s="6">
        <v>472.0</v>
      </c>
      <c r="B472" s="47"/>
      <c r="C472" s="47"/>
      <c r="D472" s="47"/>
      <c r="E472" s="47"/>
      <c r="F472" s="47"/>
      <c r="G472" s="30"/>
      <c r="H472" s="30"/>
    </row>
    <row r="473">
      <c r="A473" s="6">
        <v>473.0</v>
      </c>
      <c r="B473" s="47"/>
      <c r="C473" s="47"/>
      <c r="D473" s="47"/>
      <c r="E473" s="47"/>
      <c r="F473" s="47"/>
      <c r="G473" s="30"/>
      <c r="H473" s="30"/>
    </row>
    <row r="474">
      <c r="A474" s="6">
        <v>474.0</v>
      </c>
      <c r="B474" s="47"/>
      <c r="C474" s="47"/>
      <c r="D474" s="47"/>
      <c r="E474" s="47"/>
      <c r="F474" s="47"/>
      <c r="G474" s="30"/>
      <c r="H474" s="30"/>
    </row>
    <row r="475">
      <c r="A475" s="6">
        <v>475.0</v>
      </c>
      <c r="B475" s="47"/>
      <c r="C475" s="47"/>
      <c r="D475" s="47"/>
      <c r="E475" s="47"/>
      <c r="F475" s="47"/>
      <c r="G475" s="30"/>
      <c r="H475" s="30"/>
    </row>
    <row r="476">
      <c r="A476" s="6">
        <v>476.0</v>
      </c>
      <c r="B476" s="47"/>
      <c r="C476" s="47"/>
      <c r="D476" s="47"/>
      <c r="E476" s="47"/>
      <c r="F476" s="47"/>
      <c r="G476" s="30"/>
      <c r="H476" s="30"/>
    </row>
    <row r="477">
      <c r="A477" s="6">
        <v>477.0</v>
      </c>
      <c r="B477" s="47"/>
      <c r="C477" s="47"/>
      <c r="D477" s="47"/>
      <c r="E477" s="47"/>
      <c r="F477" s="47"/>
      <c r="G477" s="30"/>
      <c r="H477" s="30"/>
    </row>
    <row r="478">
      <c r="A478" s="6">
        <v>478.0</v>
      </c>
      <c r="B478" s="47"/>
      <c r="C478" s="47"/>
      <c r="D478" s="47"/>
      <c r="E478" s="47"/>
      <c r="F478" s="47"/>
      <c r="G478" s="30"/>
      <c r="H478" s="30"/>
    </row>
    <row r="479">
      <c r="A479" s="6">
        <v>479.0</v>
      </c>
      <c r="B479" s="47"/>
      <c r="C479" s="47"/>
      <c r="D479" s="47"/>
      <c r="E479" s="47"/>
      <c r="F479" s="47"/>
      <c r="G479" s="30"/>
      <c r="H479" s="30"/>
    </row>
    <row r="480">
      <c r="A480" s="6">
        <v>480.0</v>
      </c>
      <c r="B480" s="47"/>
      <c r="C480" s="47"/>
      <c r="D480" s="47"/>
      <c r="E480" s="47"/>
      <c r="F480" s="47"/>
      <c r="G480" s="30"/>
      <c r="H480" s="30"/>
    </row>
    <row r="481">
      <c r="A481" s="6">
        <v>481.0</v>
      </c>
      <c r="B481" s="47"/>
      <c r="C481" s="47"/>
      <c r="D481" s="47"/>
      <c r="E481" s="47"/>
      <c r="F481" s="47"/>
      <c r="G481" s="30"/>
      <c r="H481" s="30"/>
    </row>
    <row r="482">
      <c r="A482" s="6">
        <v>482.0</v>
      </c>
      <c r="B482" s="47"/>
      <c r="C482" s="47"/>
      <c r="D482" s="47"/>
      <c r="E482" s="47"/>
      <c r="F482" s="47"/>
      <c r="G482" s="30"/>
      <c r="H482" s="30"/>
    </row>
    <row r="483">
      <c r="A483" s="6">
        <v>483.0</v>
      </c>
      <c r="B483" s="47"/>
      <c r="C483" s="47"/>
      <c r="D483" s="47"/>
      <c r="E483" s="47"/>
      <c r="F483" s="47"/>
      <c r="G483" s="30"/>
      <c r="H483" s="30"/>
    </row>
    <row r="484">
      <c r="A484" s="6">
        <v>484.0</v>
      </c>
      <c r="B484" s="47"/>
      <c r="C484" s="47"/>
      <c r="D484" s="47"/>
      <c r="E484" s="47"/>
      <c r="F484" s="47"/>
      <c r="G484" s="30"/>
      <c r="H484" s="30"/>
    </row>
    <row r="485">
      <c r="A485" s="6">
        <v>485.0</v>
      </c>
      <c r="B485" s="47"/>
      <c r="C485" s="47"/>
      <c r="D485" s="47"/>
      <c r="E485" s="47"/>
      <c r="F485" s="47"/>
      <c r="G485" s="30"/>
      <c r="H485" s="30"/>
    </row>
    <row r="486">
      <c r="A486" s="6">
        <v>486.0</v>
      </c>
      <c r="B486" s="47"/>
      <c r="C486" s="47"/>
      <c r="D486" s="47"/>
      <c r="E486" s="47"/>
      <c r="F486" s="47"/>
      <c r="G486" s="30"/>
      <c r="H486" s="30"/>
    </row>
    <row r="487">
      <c r="A487" s="6">
        <v>487.0</v>
      </c>
      <c r="B487" s="47"/>
      <c r="C487" s="47"/>
      <c r="D487" s="47"/>
      <c r="E487" s="47"/>
      <c r="F487" s="47"/>
      <c r="G487" s="30"/>
      <c r="H487" s="30"/>
    </row>
    <row r="488">
      <c r="A488" s="6">
        <v>488.0</v>
      </c>
      <c r="B488" s="47"/>
      <c r="C488" s="47"/>
      <c r="D488" s="47"/>
      <c r="E488" s="47"/>
      <c r="F488" s="47"/>
      <c r="G488" s="30"/>
      <c r="H488" s="30"/>
    </row>
    <row r="489">
      <c r="A489" s="6">
        <v>489.0</v>
      </c>
      <c r="B489" s="47"/>
      <c r="C489" s="47"/>
      <c r="D489" s="47"/>
      <c r="E489" s="47"/>
      <c r="F489" s="47"/>
      <c r="G489" s="30"/>
      <c r="H489" s="30"/>
    </row>
    <row r="490">
      <c r="A490" s="6">
        <v>490.0</v>
      </c>
      <c r="B490" s="47"/>
      <c r="C490" s="47"/>
      <c r="D490" s="47"/>
      <c r="E490" s="47"/>
      <c r="F490" s="47"/>
      <c r="G490" s="30"/>
      <c r="H490" s="30"/>
    </row>
    <row r="491">
      <c r="A491" s="6">
        <v>491.0</v>
      </c>
      <c r="B491" s="47"/>
      <c r="C491" s="47"/>
      <c r="D491" s="47"/>
      <c r="E491" s="47"/>
      <c r="F491" s="47"/>
      <c r="G491" s="30"/>
      <c r="H491" s="30"/>
    </row>
    <row r="492">
      <c r="A492" s="6">
        <v>492.0</v>
      </c>
      <c r="B492" s="47"/>
      <c r="C492" s="47"/>
      <c r="D492" s="47"/>
      <c r="E492" s="47"/>
      <c r="F492" s="47"/>
      <c r="G492" s="30"/>
      <c r="H492" s="30"/>
    </row>
    <row r="493">
      <c r="A493" s="6">
        <v>493.0</v>
      </c>
      <c r="B493" s="47"/>
      <c r="C493" s="47"/>
      <c r="D493" s="47"/>
      <c r="E493" s="47"/>
      <c r="F493" s="47"/>
      <c r="G493" s="30"/>
      <c r="H493" s="30"/>
    </row>
    <row r="494">
      <c r="A494" s="6">
        <v>494.0</v>
      </c>
      <c r="B494" s="47"/>
      <c r="C494" s="47"/>
      <c r="D494" s="47"/>
      <c r="E494" s="47"/>
      <c r="F494" s="47"/>
      <c r="G494" s="30"/>
      <c r="H494" s="30"/>
    </row>
    <row r="495">
      <c r="A495" s="6">
        <v>495.0</v>
      </c>
      <c r="B495" s="47"/>
      <c r="C495" s="47"/>
      <c r="D495" s="47"/>
      <c r="E495" s="47"/>
      <c r="F495" s="47"/>
      <c r="G495" s="30"/>
      <c r="H495" s="30"/>
    </row>
    <row r="496">
      <c r="A496" s="6">
        <v>496.0</v>
      </c>
      <c r="B496" s="47"/>
      <c r="C496" s="47"/>
      <c r="D496" s="47"/>
      <c r="E496" s="47"/>
      <c r="F496" s="47"/>
      <c r="G496" s="30"/>
      <c r="H496" s="30"/>
    </row>
    <row r="497">
      <c r="A497" s="6">
        <v>497.0</v>
      </c>
      <c r="B497" s="47"/>
      <c r="C497" s="47"/>
      <c r="D497" s="47"/>
      <c r="E497" s="47"/>
      <c r="F497" s="47"/>
      <c r="G497" s="30"/>
      <c r="H497" s="30"/>
    </row>
    <row r="498">
      <c r="A498" s="6">
        <v>498.0</v>
      </c>
      <c r="B498" s="47"/>
      <c r="C498" s="47"/>
      <c r="D498" s="47"/>
      <c r="E498" s="47"/>
      <c r="F498" s="47"/>
      <c r="G498" s="30"/>
      <c r="H498" s="30"/>
    </row>
    <row r="499">
      <c r="A499" s="6">
        <v>499.0</v>
      </c>
      <c r="B499" s="47"/>
      <c r="C499" s="47"/>
      <c r="D499" s="47"/>
      <c r="E499" s="47"/>
      <c r="F499" s="47"/>
      <c r="G499" s="30"/>
      <c r="H499" s="30"/>
    </row>
    <row r="500">
      <c r="A500" s="6">
        <v>500.0</v>
      </c>
      <c r="B500" s="47"/>
      <c r="C500" s="47"/>
      <c r="D500" s="47"/>
      <c r="E500" s="47"/>
      <c r="F500" s="47"/>
      <c r="G500" s="30"/>
      <c r="H500" s="30"/>
    </row>
    <row r="501">
      <c r="A501" s="6">
        <v>501.0</v>
      </c>
      <c r="B501" s="47"/>
      <c r="C501" s="47"/>
      <c r="D501" s="47"/>
      <c r="E501" s="47"/>
      <c r="F501" s="47"/>
      <c r="G501" s="30"/>
      <c r="H501" s="30"/>
    </row>
    <row r="502">
      <c r="A502" s="6">
        <v>502.0</v>
      </c>
      <c r="B502" s="47"/>
      <c r="C502" s="47"/>
      <c r="D502" s="47"/>
      <c r="E502" s="47"/>
      <c r="F502" s="47"/>
      <c r="G502" s="30"/>
      <c r="H502" s="30"/>
    </row>
    <row r="503">
      <c r="A503" s="6">
        <v>503.0</v>
      </c>
      <c r="B503" s="47"/>
      <c r="C503" s="47"/>
      <c r="D503" s="47"/>
      <c r="E503" s="47"/>
      <c r="F503" s="47"/>
      <c r="G503" s="30"/>
      <c r="H503" s="30"/>
    </row>
    <row r="504">
      <c r="A504" s="6">
        <v>504.0</v>
      </c>
      <c r="B504" s="47"/>
      <c r="C504" s="47"/>
      <c r="D504" s="47"/>
      <c r="E504" s="47"/>
      <c r="F504" s="47"/>
      <c r="G504" s="30"/>
      <c r="H504" s="30"/>
    </row>
    <row r="505">
      <c r="A505" s="6">
        <v>505.0</v>
      </c>
      <c r="B505" s="47"/>
      <c r="C505" s="47"/>
      <c r="D505" s="47"/>
      <c r="E505" s="47"/>
      <c r="F505" s="47"/>
      <c r="G505" s="30"/>
      <c r="H505" s="30"/>
    </row>
    <row r="506">
      <c r="A506" s="6">
        <v>506.0</v>
      </c>
      <c r="B506" s="47"/>
      <c r="C506" s="47"/>
      <c r="D506" s="47"/>
      <c r="E506" s="47"/>
      <c r="F506" s="47"/>
      <c r="G506" s="30"/>
      <c r="H506" s="30"/>
    </row>
    <row r="507">
      <c r="A507" s="6">
        <v>507.0</v>
      </c>
      <c r="B507" s="47"/>
      <c r="C507" s="47"/>
      <c r="D507" s="47"/>
      <c r="E507" s="47"/>
      <c r="F507" s="47"/>
      <c r="G507" s="30"/>
      <c r="H507" s="30"/>
    </row>
    <row r="508">
      <c r="A508" s="6">
        <v>508.0</v>
      </c>
      <c r="B508" s="47"/>
      <c r="C508" s="47"/>
      <c r="D508" s="47"/>
      <c r="E508" s="47"/>
      <c r="F508" s="47"/>
      <c r="G508" s="30"/>
      <c r="H508" s="30"/>
    </row>
    <row r="509">
      <c r="A509" s="6">
        <v>509.0</v>
      </c>
      <c r="B509" s="47"/>
      <c r="C509" s="47"/>
      <c r="D509" s="47"/>
      <c r="E509" s="47"/>
      <c r="F509" s="47"/>
      <c r="G509" s="30"/>
      <c r="H509" s="30"/>
    </row>
    <row r="510">
      <c r="A510" s="6">
        <v>510.0</v>
      </c>
      <c r="B510" s="47"/>
      <c r="C510" s="47"/>
      <c r="D510" s="47"/>
      <c r="E510" s="47"/>
      <c r="F510" s="47"/>
      <c r="G510" s="30"/>
      <c r="H510" s="30"/>
    </row>
    <row r="511">
      <c r="A511" s="6">
        <v>511.0</v>
      </c>
      <c r="B511" s="47"/>
      <c r="C511" s="47"/>
      <c r="D511" s="47"/>
      <c r="E511" s="47"/>
      <c r="F511" s="47"/>
      <c r="G511" s="30"/>
      <c r="H511" s="30"/>
    </row>
    <row r="512">
      <c r="A512" s="6">
        <v>512.0</v>
      </c>
      <c r="B512" s="47"/>
      <c r="C512" s="47"/>
      <c r="D512" s="47"/>
      <c r="E512" s="47"/>
      <c r="F512" s="47"/>
      <c r="G512" s="30"/>
      <c r="H512" s="30"/>
    </row>
    <row r="513">
      <c r="A513" s="6">
        <v>513.0</v>
      </c>
      <c r="B513" s="47"/>
      <c r="C513" s="47"/>
      <c r="D513" s="47"/>
      <c r="E513" s="47"/>
      <c r="F513" s="47"/>
      <c r="G513" s="30"/>
      <c r="H513" s="30"/>
    </row>
    <row r="514">
      <c r="A514" s="6">
        <v>514.0</v>
      </c>
      <c r="B514" s="47"/>
      <c r="C514" s="47"/>
      <c r="D514" s="47"/>
      <c r="E514" s="47"/>
      <c r="F514" s="47"/>
      <c r="G514" s="30"/>
      <c r="H514" s="30"/>
    </row>
    <row r="515">
      <c r="A515" s="6">
        <v>515.0</v>
      </c>
      <c r="B515" s="47"/>
      <c r="C515" s="47"/>
      <c r="D515" s="47"/>
      <c r="E515" s="47"/>
      <c r="F515" s="47"/>
      <c r="G515" s="30"/>
      <c r="H515" s="30"/>
    </row>
    <row r="516">
      <c r="A516" s="6">
        <v>516.0</v>
      </c>
      <c r="B516" s="47"/>
      <c r="C516" s="47"/>
      <c r="D516" s="47"/>
      <c r="E516" s="47"/>
      <c r="F516" s="47"/>
      <c r="G516" s="30"/>
      <c r="H516" s="30"/>
    </row>
    <row r="517">
      <c r="A517" s="6">
        <v>517.0</v>
      </c>
      <c r="B517" s="47"/>
      <c r="C517" s="47"/>
      <c r="D517" s="47"/>
      <c r="E517" s="47"/>
      <c r="F517" s="47"/>
      <c r="G517" s="30"/>
      <c r="H517" s="30"/>
    </row>
    <row r="518">
      <c r="A518" s="6">
        <v>518.0</v>
      </c>
      <c r="B518" s="47"/>
      <c r="C518" s="47"/>
      <c r="D518" s="47"/>
      <c r="E518" s="47"/>
      <c r="F518" s="47"/>
      <c r="G518" s="30"/>
      <c r="H518" s="30"/>
    </row>
    <row r="519">
      <c r="A519" s="6">
        <v>519.0</v>
      </c>
      <c r="B519" s="47"/>
      <c r="C519" s="47"/>
      <c r="D519" s="47"/>
      <c r="E519" s="47"/>
      <c r="F519" s="47"/>
      <c r="G519" s="30"/>
      <c r="H519" s="30"/>
    </row>
    <row r="520">
      <c r="A520" s="6">
        <v>520.0</v>
      </c>
      <c r="B520" s="47"/>
      <c r="C520" s="47"/>
      <c r="D520" s="47"/>
      <c r="E520" s="47"/>
      <c r="F520" s="47"/>
      <c r="G520" s="30"/>
      <c r="H520" s="30"/>
    </row>
    <row r="521">
      <c r="A521" s="6">
        <v>521.0</v>
      </c>
      <c r="B521" s="47"/>
      <c r="C521" s="47"/>
      <c r="D521" s="47"/>
      <c r="E521" s="47"/>
      <c r="F521" s="47"/>
      <c r="G521" s="30"/>
      <c r="H521" s="30"/>
    </row>
    <row r="522">
      <c r="A522" s="6">
        <v>522.0</v>
      </c>
      <c r="B522" s="47"/>
      <c r="C522" s="47"/>
      <c r="D522" s="47"/>
      <c r="E522" s="47"/>
      <c r="F522" s="47"/>
      <c r="G522" s="30"/>
      <c r="H522" s="30"/>
    </row>
    <row r="523">
      <c r="A523" s="6">
        <v>523.0</v>
      </c>
      <c r="B523" s="47"/>
      <c r="C523" s="47"/>
      <c r="D523" s="47"/>
      <c r="E523" s="47"/>
      <c r="F523" s="47"/>
      <c r="G523" s="30"/>
      <c r="H523" s="30"/>
    </row>
    <row r="524">
      <c r="A524" s="6">
        <v>524.0</v>
      </c>
      <c r="B524" s="47"/>
      <c r="C524" s="47"/>
      <c r="D524" s="47"/>
      <c r="E524" s="47"/>
      <c r="F524" s="47"/>
      <c r="G524" s="30"/>
      <c r="H524" s="30"/>
    </row>
    <row r="525">
      <c r="A525" s="6">
        <v>525.0</v>
      </c>
      <c r="B525" s="47"/>
      <c r="C525" s="47"/>
      <c r="D525" s="47"/>
      <c r="E525" s="47"/>
      <c r="F525" s="47"/>
      <c r="G525" s="30"/>
      <c r="H525" s="30"/>
    </row>
    <row r="526">
      <c r="A526" s="6">
        <v>526.0</v>
      </c>
      <c r="B526" s="47"/>
      <c r="C526" s="47"/>
      <c r="D526" s="47"/>
      <c r="E526" s="47"/>
      <c r="F526" s="47"/>
      <c r="G526" s="30"/>
      <c r="H526" s="30"/>
    </row>
    <row r="527">
      <c r="A527" s="6">
        <v>527.0</v>
      </c>
      <c r="B527" s="47"/>
      <c r="C527" s="47"/>
      <c r="D527" s="47"/>
      <c r="E527" s="47"/>
      <c r="F527" s="47"/>
      <c r="G527" s="30"/>
      <c r="H527" s="30"/>
    </row>
    <row r="528">
      <c r="A528" s="6">
        <v>528.0</v>
      </c>
      <c r="B528" s="47"/>
      <c r="C528" s="47"/>
      <c r="D528" s="47"/>
      <c r="E528" s="47"/>
      <c r="F528" s="47"/>
      <c r="G528" s="30"/>
      <c r="H528" s="30"/>
    </row>
    <row r="529">
      <c r="A529" s="6">
        <v>529.0</v>
      </c>
      <c r="B529" s="47"/>
      <c r="C529" s="47"/>
      <c r="D529" s="47"/>
      <c r="E529" s="47"/>
      <c r="F529" s="47"/>
      <c r="G529" s="30"/>
      <c r="H529" s="30"/>
    </row>
    <row r="530">
      <c r="A530" s="6">
        <v>530.0</v>
      </c>
      <c r="B530" s="47"/>
      <c r="C530" s="47"/>
      <c r="D530" s="47"/>
      <c r="E530" s="47"/>
      <c r="F530" s="47"/>
      <c r="G530" s="30"/>
      <c r="H530" s="30"/>
    </row>
    <row r="531">
      <c r="A531" s="6">
        <v>531.0</v>
      </c>
      <c r="B531" s="47"/>
      <c r="C531" s="47"/>
      <c r="D531" s="47"/>
      <c r="E531" s="47"/>
      <c r="F531" s="47"/>
      <c r="G531" s="30"/>
      <c r="H531" s="30"/>
    </row>
    <row r="532">
      <c r="A532" s="6">
        <v>532.0</v>
      </c>
      <c r="B532" s="47"/>
      <c r="C532" s="47"/>
      <c r="D532" s="47"/>
      <c r="E532" s="47"/>
      <c r="F532" s="47"/>
      <c r="G532" s="30"/>
      <c r="H532" s="30"/>
    </row>
    <row r="533">
      <c r="A533" s="6">
        <v>533.0</v>
      </c>
      <c r="B533" s="47"/>
      <c r="C533" s="47"/>
      <c r="D533" s="47"/>
      <c r="E533" s="47"/>
      <c r="F533" s="47"/>
      <c r="G533" s="30"/>
      <c r="H533" s="30"/>
    </row>
    <row r="534">
      <c r="A534" s="6">
        <v>534.0</v>
      </c>
      <c r="B534" s="47"/>
      <c r="C534" s="47"/>
      <c r="D534" s="47"/>
      <c r="E534" s="47"/>
      <c r="F534" s="47"/>
      <c r="G534" s="30"/>
      <c r="H534" s="30"/>
    </row>
    <row r="535">
      <c r="A535" s="6">
        <v>535.0</v>
      </c>
      <c r="B535" s="47"/>
      <c r="C535" s="47"/>
      <c r="D535" s="47"/>
      <c r="E535" s="47"/>
      <c r="F535" s="47"/>
      <c r="G535" s="30"/>
      <c r="H535" s="30"/>
    </row>
    <row r="536">
      <c r="A536" s="6">
        <v>536.0</v>
      </c>
      <c r="B536" s="47"/>
      <c r="C536" s="47"/>
      <c r="D536" s="47"/>
      <c r="E536" s="47"/>
      <c r="F536" s="47"/>
      <c r="G536" s="30"/>
      <c r="H536" s="30"/>
    </row>
    <row r="537">
      <c r="A537" s="6">
        <v>537.0</v>
      </c>
      <c r="B537" s="47"/>
      <c r="C537" s="47"/>
      <c r="D537" s="47"/>
      <c r="E537" s="47"/>
      <c r="F537" s="47"/>
      <c r="G537" s="30"/>
      <c r="H537" s="30"/>
    </row>
    <row r="538">
      <c r="A538" s="6">
        <v>538.0</v>
      </c>
      <c r="B538" s="47"/>
      <c r="C538" s="47"/>
      <c r="D538" s="47"/>
      <c r="E538" s="47"/>
      <c r="F538" s="47"/>
      <c r="G538" s="30"/>
      <c r="H538" s="30"/>
    </row>
    <row r="539">
      <c r="A539" s="6">
        <v>539.0</v>
      </c>
      <c r="B539" s="47"/>
      <c r="C539" s="47"/>
      <c r="D539" s="47"/>
      <c r="E539" s="47"/>
      <c r="F539" s="47"/>
      <c r="G539" s="30"/>
      <c r="H539" s="30"/>
    </row>
    <row r="540">
      <c r="A540" s="6">
        <v>540.0</v>
      </c>
      <c r="B540" s="47"/>
      <c r="C540" s="47"/>
      <c r="D540" s="47"/>
      <c r="E540" s="47"/>
      <c r="F540" s="47"/>
      <c r="G540" s="30"/>
      <c r="H540" s="30"/>
    </row>
    <row r="541">
      <c r="A541" s="6">
        <v>541.0</v>
      </c>
      <c r="B541" s="47"/>
      <c r="C541" s="47"/>
      <c r="D541" s="47"/>
      <c r="E541" s="47"/>
      <c r="F541" s="47"/>
      <c r="G541" s="30"/>
      <c r="H541" s="30"/>
    </row>
    <row r="542">
      <c r="A542" s="6">
        <v>542.0</v>
      </c>
      <c r="B542" s="47"/>
      <c r="C542" s="47"/>
      <c r="D542" s="47"/>
      <c r="E542" s="47"/>
      <c r="F542" s="47"/>
      <c r="G542" s="30"/>
      <c r="H542" s="30"/>
    </row>
    <row r="543">
      <c r="A543" s="6">
        <v>543.0</v>
      </c>
      <c r="B543" s="47"/>
      <c r="C543" s="47"/>
      <c r="D543" s="47"/>
      <c r="E543" s="47"/>
      <c r="F543" s="47"/>
      <c r="G543" s="30"/>
      <c r="H543" s="30"/>
    </row>
    <row r="544">
      <c r="A544" s="6">
        <v>544.0</v>
      </c>
      <c r="B544" s="47"/>
      <c r="C544" s="47"/>
      <c r="D544" s="47"/>
      <c r="E544" s="47"/>
      <c r="F544" s="47"/>
      <c r="G544" s="30"/>
      <c r="H544" s="30"/>
    </row>
    <row r="545">
      <c r="A545" s="6">
        <v>545.0</v>
      </c>
      <c r="B545" s="47"/>
      <c r="C545" s="47"/>
      <c r="D545" s="47"/>
      <c r="E545" s="47"/>
      <c r="F545" s="47"/>
      <c r="G545" s="30"/>
      <c r="H545" s="30"/>
    </row>
    <row r="546">
      <c r="A546" s="6">
        <v>546.0</v>
      </c>
      <c r="B546" s="47"/>
      <c r="C546" s="47"/>
      <c r="D546" s="47"/>
      <c r="E546" s="47"/>
      <c r="F546" s="47"/>
      <c r="G546" s="30"/>
      <c r="H546" s="30"/>
    </row>
    <row r="547">
      <c r="A547" s="6">
        <v>547.0</v>
      </c>
      <c r="B547" s="47"/>
      <c r="C547" s="47"/>
      <c r="D547" s="47"/>
      <c r="E547" s="47"/>
      <c r="F547" s="47"/>
      <c r="G547" s="30"/>
      <c r="H547" s="30"/>
    </row>
    <row r="548">
      <c r="A548" s="6">
        <v>548.0</v>
      </c>
      <c r="B548" s="47"/>
      <c r="C548" s="47"/>
      <c r="D548" s="47"/>
      <c r="E548" s="47"/>
      <c r="F548" s="47"/>
      <c r="G548" s="30"/>
      <c r="H548" s="30"/>
    </row>
    <row r="549">
      <c r="A549" s="6">
        <v>549.0</v>
      </c>
      <c r="B549" s="47"/>
      <c r="C549" s="47"/>
      <c r="D549" s="47"/>
      <c r="E549" s="47"/>
      <c r="F549" s="47"/>
      <c r="G549" s="30"/>
      <c r="H549" s="30"/>
    </row>
    <row r="550">
      <c r="A550" s="6">
        <v>550.0</v>
      </c>
      <c r="B550" s="47"/>
      <c r="C550" s="47"/>
      <c r="D550" s="47"/>
      <c r="E550" s="47"/>
      <c r="F550" s="47"/>
      <c r="G550" s="30"/>
      <c r="H550" s="30"/>
    </row>
    <row r="551">
      <c r="A551" s="6">
        <v>551.0</v>
      </c>
      <c r="B551" s="47"/>
      <c r="C551" s="47"/>
      <c r="D551" s="47"/>
      <c r="E551" s="47"/>
      <c r="F551" s="47"/>
      <c r="G551" s="30"/>
      <c r="H551" s="30"/>
    </row>
    <row r="552">
      <c r="A552" s="6">
        <v>552.0</v>
      </c>
      <c r="B552" s="47"/>
      <c r="C552" s="47"/>
      <c r="D552" s="47"/>
      <c r="E552" s="47"/>
      <c r="F552" s="47"/>
      <c r="G552" s="30"/>
      <c r="H552" s="30"/>
    </row>
    <row r="553">
      <c r="A553" s="6">
        <v>553.0</v>
      </c>
      <c r="B553" s="47"/>
      <c r="C553" s="47"/>
      <c r="D553" s="47"/>
      <c r="E553" s="47"/>
      <c r="F553" s="47"/>
      <c r="G553" s="30"/>
      <c r="H553" s="30"/>
    </row>
    <row r="554">
      <c r="A554" s="6">
        <v>554.0</v>
      </c>
      <c r="B554" s="47"/>
      <c r="C554" s="47"/>
      <c r="D554" s="47"/>
      <c r="E554" s="47"/>
      <c r="F554" s="47"/>
      <c r="G554" s="30"/>
      <c r="H554" s="30"/>
    </row>
    <row r="555">
      <c r="A555" s="6">
        <v>555.0</v>
      </c>
      <c r="B555" s="47"/>
      <c r="C555" s="47"/>
      <c r="D555" s="47"/>
      <c r="E555" s="47"/>
      <c r="F555" s="47"/>
      <c r="G555" s="30"/>
      <c r="H555" s="30"/>
    </row>
    <row r="556">
      <c r="A556" s="6">
        <v>556.0</v>
      </c>
      <c r="B556" s="47"/>
      <c r="C556" s="47"/>
      <c r="D556" s="47"/>
      <c r="E556" s="47"/>
      <c r="F556" s="47"/>
      <c r="G556" s="30"/>
      <c r="H556" s="30"/>
    </row>
    <row r="557">
      <c r="A557" s="6">
        <v>557.0</v>
      </c>
      <c r="B557" s="47"/>
      <c r="C557" s="47"/>
      <c r="D557" s="47"/>
      <c r="E557" s="47"/>
      <c r="F557" s="47"/>
      <c r="G557" s="30"/>
      <c r="H557" s="30"/>
    </row>
    <row r="558">
      <c r="A558" s="6">
        <v>558.0</v>
      </c>
      <c r="B558" s="47"/>
      <c r="C558" s="47"/>
      <c r="D558" s="47"/>
      <c r="E558" s="47"/>
      <c r="F558" s="47"/>
      <c r="G558" s="30"/>
      <c r="H558" s="30"/>
    </row>
    <row r="559">
      <c r="A559" s="6">
        <v>559.0</v>
      </c>
      <c r="B559" s="47"/>
      <c r="C559" s="47"/>
      <c r="D559" s="47"/>
      <c r="E559" s="47"/>
      <c r="F559" s="47"/>
      <c r="G559" s="30"/>
      <c r="H559" s="30"/>
    </row>
    <row r="560">
      <c r="A560" s="6">
        <v>560.0</v>
      </c>
      <c r="B560" s="47"/>
      <c r="C560" s="47"/>
      <c r="D560" s="47"/>
      <c r="E560" s="47"/>
      <c r="F560" s="47"/>
      <c r="G560" s="30"/>
      <c r="H560" s="30"/>
    </row>
    <row r="561">
      <c r="A561" s="6">
        <v>561.0</v>
      </c>
      <c r="B561" s="47"/>
      <c r="C561" s="47"/>
      <c r="D561" s="47"/>
      <c r="E561" s="47"/>
      <c r="F561" s="47"/>
      <c r="G561" s="30"/>
      <c r="H561" s="30"/>
    </row>
    <row r="562">
      <c r="A562" s="6">
        <v>562.0</v>
      </c>
      <c r="B562" s="47"/>
      <c r="C562" s="47"/>
      <c r="D562" s="47"/>
      <c r="E562" s="47"/>
      <c r="F562" s="47"/>
      <c r="G562" s="30"/>
      <c r="H562" s="30"/>
    </row>
    <row r="563">
      <c r="A563" s="6">
        <v>563.0</v>
      </c>
      <c r="B563" s="47"/>
      <c r="C563" s="47"/>
      <c r="D563" s="47"/>
      <c r="E563" s="47"/>
      <c r="F563" s="47"/>
      <c r="G563" s="30"/>
      <c r="H563" s="30"/>
    </row>
    <row r="564">
      <c r="A564" s="6">
        <v>564.0</v>
      </c>
      <c r="B564" s="47"/>
      <c r="C564" s="47"/>
      <c r="D564" s="47"/>
      <c r="E564" s="47"/>
      <c r="F564" s="47"/>
      <c r="G564" s="30"/>
      <c r="H564" s="30"/>
    </row>
    <row r="565">
      <c r="A565" s="6">
        <v>565.0</v>
      </c>
      <c r="B565" s="47"/>
      <c r="C565" s="47"/>
      <c r="D565" s="47"/>
      <c r="E565" s="47"/>
      <c r="F565" s="47"/>
      <c r="G565" s="30"/>
      <c r="H565" s="30"/>
    </row>
    <row r="566">
      <c r="A566" s="6">
        <v>566.0</v>
      </c>
      <c r="B566" s="47"/>
      <c r="C566" s="47"/>
      <c r="D566" s="47"/>
      <c r="E566" s="47"/>
      <c r="F566" s="47"/>
      <c r="G566" s="30"/>
      <c r="H566" s="30"/>
    </row>
    <row r="567">
      <c r="A567" s="6">
        <v>567.0</v>
      </c>
      <c r="B567" s="47"/>
      <c r="C567" s="47"/>
      <c r="D567" s="47"/>
      <c r="E567" s="47"/>
      <c r="F567" s="47"/>
      <c r="G567" s="30"/>
      <c r="H567" s="30"/>
    </row>
    <row r="568">
      <c r="A568" s="6">
        <v>568.0</v>
      </c>
      <c r="B568" s="47"/>
      <c r="C568" s="47"/>
      <c r="D568" s="47"/>
      <c r="E568" s="47"/>
      <c r="F568" s="47"/>
      <c r="G568" s="30"/>
      <c r="H568" s="30"/>
    </row>
    <row r="569">
      <c r="A569" s="6">
        <v>569.0</v>
      </c>
      <c r="B569" s="47"/>
      <c r="C569" s="47"/>
      <c r="D569" s="47"/>
      <c r="E569" s="47"/>
      <c r="F569" s="47"/>
      <c r="G569" s="30"/>
      <c r="H569" s="30"/>
    </row>
    <row r="570">
      <c r="A570" s="6">
        <v>570.0</v>
      </c>
      <c r="B570" s="47"/>
      <c r="C570" s="47"/>
      <c r="D570" s="47"/>
      <c r="E570" s="47"/>
      <c r="F570" s="47"/>
      <c r="G570" s="30"/>
      <c r="H570" s="30"/>
    </row>
    <row r="571">
      <c r="A571" s="6">
        <v>571.0</v>
      </c>
      <c r="B571" s="47"/>
      <c r="C571" s="47"/>
      <c r="D571" s="47"/>
      <c r="E571" s="47"/>
      <c r="F571" s="47"/>
      <c r="G571" s="30"/>
      <c r="H571" s="30"/>
    </row>
    <row r="572">
      <c r="A572" s="6">
        <v>572.0</v>
      </c>
      <c r="B572" s="47"/>
      <c r="C572" s="47"/>
      <c r="D572" s="47"/>
      <c r="E572" s="47"/>
      <c r="F572" s="47"/>
      <c r="G572" s="30"/>
      <c r="H572" s="30"/>
    </row>
    <row r="573">
      <c r="A573" s="6">
        <v>573.0</v>
      </c>
      <c r="B573" s="47"/>
      <c r="C573" s="47"/>
      <c r="D573" s="47"/>
      <c r="E573" s="47"/>
      <c r="F573" s="47"/>
      <c r="G573" s="30"/>
      <c r="H573" s="30"/>
    </row>
    <row r="574">
      <c r="A574" s="6">
        <v>574.0</v>
      </c>
      <c r="B574" s="47"/>
      <c r="C574" s="47"/>
      <c r="D574" s="47"/>
      <c r="E574" s="47"/>
      <c r="F574" s="47"/>
      <c r="G574" s="30"/>
      <c r="H574" s="30"/>
    </row>
    <row r="575">
      <c r="A575" s="6">
        <v>575.0</v>
      </c>
      <c r="B575" s="47"/>
      <c r="C575" s="47"/>
      <c r="D575" s="47"/>
      <c r="E575" s="47"/>
      <c r="F575" s="47"/>
      <c r="G575" s="30"/>
      <c r="H575" s="30"/>
    </row>
    <row r="576">
      <c r="A576" s="6">
        <v>576.0</v>
      </c>
      <c r="B576" s="47"/>
      <c r="C576" s="47"/>
      <c r="D576" s="47"/>
      <c r="E576" s="47"/>
      <c r="F576" s="47"/>
      <c r="G576" s="30"/>
      <c r="H576" s="30"/>
    </row>
    <row r="577">
      <c r="A577" s="6">
        <v>577.0</v>
      </c>
      <c r="B577" s="47"/>
      <c r="C577" s="47"/>
      <c r="D577" s="47"/>
      <c r="E577" s="47"/>
      <c r="F577" s="47"/>
      <c r="G577" s="30"/>
      <c r="H577" s="30"/>
    </row>
    <row r="578">
      <c r="A578" s="6">
        <v>578.0</v>
      </c>
      <c r="B578" s="47"/>
      <c r="C578" s="47"/>
      <c r="D578" s="47"/>
      <c r="E578" s="47"/>
      <c r="F578" s="47"/>
      <c r="G578" s="30"/>
      <c r="H578" s="30"/>
    </row>
    <row r="579">
      <c r="A579" s="6">
        <v>579.0</v>
      </c>
      <c r="B579" s="47"/>
      <c r="C579" s="47"/>
      <c r="D579" s="47"/>
      <c r="E579" s="47"/>
      <c r="F579" s="47"/>
      <c r="G579" s="30"/>
      <c r="H579" s="30"/>
    </row>
    <row r="580">
      <c r="A580" s="6">
        <v>580.0</v>
      </c>
      <c r="B580" s="47"/>
      <c r="C580" s="47"/>
      <c r="D580" s="47"/>
      <c r="E580" s="47"/>
      <c r="F580" s="47"/>
      <c r="G580" s="30"/>
      <c r="H580" s="30"/>
    </row>
    <row r="581">
      <c r="A581" s="6">
        <v>581.0</v>
      </c>
      <c r="B581" s="47"/>
      <c r="C581" s="47"/>
      <c r="D581" s="47"/>
      <c r="E581" s="47"/>
      <c r="F581" s="47"/>
      <c r="G581" s="30"/>
      <c r="H581" s="30"/>
    </row>
    <row r="582">
      <c r="A582" s="6">
        <v>582.0</v>
      </c>
      <c r="B582" s="47"/>
      <c r="C582" s="47"/>
      <c r="D582" s="47"/>
      <c r="E582" s="47"/>
      <c r="F582" s="47"/>
      <c r="G582" s="30"/>
      <c r="H582" s="30"/>
    </row>
    <row r="583">
      <c r="A583" s="6">
        <v>583.0</v>
      </c>
      <c r="B583" s="47"/>
      <c r="C583" s="47"/>
      <c r="D583" s="47"/>
      <c r="E583" s="47"/>
      <c r="F583" s="47"/>
      <c r="G583" s="30"/>
      <c r="H583" s="30"/>
    </row>
    <row r="584">
      <c r="A584" s="6">
        <v>584.0</v>
      </c>
      <c r="B584" s="47"/>
      <c r="C584" s="47"/>
      <c r="D584" s="47"/>
      <c r="E584" s="47"/>
      <c r="F584" s="47"/>
      <c r="G584" s="30"/>
      <c r="H584" s="30"/>
    </row>
    <row r="585">
      <c r="A585" s="6">
        <v>585.0</v>
      </c>
      <c r="B585" s="47"/>
      <c r="C585" s="47"/>
      <c r="D585" s="47"/>
      <c r="E585" s="47"/>
      <c r="F585" s="47"/>
      <c r="G585" s="30"/>
      <c r="H585" s="30"/>
    </row>
    <row r="586">
      <c r="A586" s="6">
        <v>586.0</v>
      </c>
      <c r="B586" s="47"/>
      <c r="C586" s="47"/>
      <c r="D586" s="47"/>
      <c r="E586" s="47"/>
      <c r="F586" s="47"/>
      <c r="G586" s="30"/>
      <c r="H586" s="30"/>
    </row>
    <row r="587">
      <c r="A587" s="6">
        <v>587.0</v>
      </c>
      <c r="B587" s="47"/>
      <c r="C587" s="47"/>
      <c r="D587" s="47"/>
      <c r="E587" s="47"/>
      <c r="F587" s="47"/>
      <c r="G587" s="30"/>
      <c r="H587" s="30"/>
    </row>
    <row r="588">
      <c r="A588" s="6">
        <v>588.0</v>
      </c>
      <c r="B588" s="47"/>
      <c r="C588" s="47"/>
      <c r="D588" s="47"/>
      <c r="E588" s="47"/>
      <c r="F588" s="47"/>
      <c r="G588" s="30"/>
      <c r="H588" s="30"/>
    </row>
    <row r="589">
      <c r="A589" s="6">
        <v>589.0</v>
      </c>
      <c r="B589" s="47"/>
      <c r="C589" s="47"/>
      <c r="D589" s="47"/>
      <c r="E589" s="47"/>
      <c r="F589" s="47"/>
      <c r="G589" s="30"/>
      <c r="H589" s="30"/>
    </row>
    <row r="590">
      <c r="A590" s="6">
        <v>590.0</v>
      </c>
      <c r="B590" s="47"/>
      <c r="C590" s="47"/>
      <c r="D590" s="47"/>
      <c r="E590" s="47"/>
      <c r="F590" s="47"/>
      <c r="G590" s="30"/>
      <c r="H590" s="30"/>
    </row>
    <row r="591">
      <c r="A591" s="6">
        <v>591.0</v>
      </c>
      <c r="B591" s="47"/>
      <c r="C591" s="47"/>
      <c r="D591" s="47"/>
      <c r="E591" s="47"/>
      <c r="F591" s="47"/>
      <c r="G591" s="30"/>
      <c r="H591" s="30"/>
    </row>
    <row r="592">
      <c r="A592" s="6">
        <v>592.0</v>
      </c>
      <c r="B592" s="47"/>
      <c r="C592" s="47"/>
      <c r="D592" s="47"/>
      <c r="E592" s="47"/>
      <c r="F592" s="47"/>
      <c r="G592" s="30"/>
      <c r="H592" s="30"/>
    </row>
    <row r="593">
      <c r="A593" s="6">
        <v>593.0</v>
      </c>
      <c r="B593" s="47"/>
      <c r="C593" s="47"/>
      <c r="D593" s="47"/>
      <c r="E593" s="47"/>
      <c r="F593" s="47"/>
      <c r="G593" s="30"/>
      <c r="H593" s="30"/>
    </row>
    <row r="594">
      <c r="A594" s="6">
        <v>594.0</v>
      </c>
      <c r="B594" s="47"/>
      <c r="C594" s="47"/>
      <c r="D594" s="47"/>
      <c r="E594" s="47"/>
      <c r="F594" s="47"/>
      <c r="G594" s="30"/>
      <c r="H594" s="30"/>
    </row>
    <row r="595">
      <c r="A595" s="6">
        <v>595.0</v>
      </c>
      <c r="B595" s="47"/>
      <c r="C595" s="47"/>
      <c r="D595" s="47"/>
      <c r="E595" s="47"/>
      <c r="F595" s="47"/>
      <c r="G595" s="30"/>
      <c r="H595" s="30"/>
    </row>
    <row r="596">
      <c r="A596" s="6">
        <v>596.0</v>
      </c>
      <c r="B596" s="47"/>
      <c r="C596" s="47"/>
      <c r="D596" s="47"/>
      <c r="E596" s="47"/>
      <c r="F596" s="47"/>
      <c r="G596" s="30"/>
      <c r="H596" s="30"/>
    </row>
    <row r="597">
      <c r="A597" s="6">
        <v>597.0</v>
      </c>
      <c r="B597" s="47"/>
      <c r="C597" s="47"/>
      <c r="D597" s="47"/>
      <c r="E597" s="47"/>
      <c r="F597" s="47"/>
      <c r="G597" s="30"/>
      <c r="H597" s="30"/>
    </row>
    <row r="598">
      <c r="A598" s="6">
        <v>598.0</v>
      </c>
      <c r="B598" s="47"/>
      <c r="C598" s="47"/>
      <c r="D598" s="47"/>
      <c r="E598" s="47"/>
      <c r="F598" s="47"/>
      <c r="G598" s="30"/>
      <c r="H598" s="30"/>
    </row>
    <row r="599">
      <c r="A599" s="6">
        <v>599.0</v>
      </c>
      <c r="B599" s="47"/>
      <c r="C599" s="47"/>
      <c r="D599" s="47"/>
      <c r="E599" s="47"/>
      <c r="F599" s="47"/>
      <c r="G599" s="30"/>
      <c r="H599" s="30"/>
    </row>
    <row r="600">
      <c r="A600" s="6">
        <v>600.0</v>
      </c>
      <c r="B600" s="47"/>
      <c r="C600" s="47"/>
      <c r="D600" s="47"/>
      <c r="E600" s="47"/>
      <c r="F600" s="47"/>
      <c r="G600" s="30"/>
      <c r="H600" s="30"/>
    </row>
    <row r="601">
      <c r="A601" s="6">
        <v>601.0</v>
      </c>
      <c r="B601" s="47"/>
      <c r="C601" s="47"/>
      <c r="D601" s="47"/>
      <c r="E601" s="47"/>
      <c r="F601" s="47"/>
      <c r="G601" s="30"/>
      <c r="H601" s="30"/>
    </row>
    <row r="602">
      <c r="A602" s="6">
        <v>602.0</v>
      </c>
      <c r="B602" s="47"/>
      <c r="C602" s="47"/>
      <c r="D602" s="47"/>
      <c r="E602" s="47"/>
      <c r="F602" s="47"/>
      <c r="G602" s="30"/>
      <c r="H602" s="30"/>
    </row>
    <row r="603">
      <c r="A603" s="6">
        <v>603.0</v>
      </c>
      <c r="B603" s="47"/>
      <c r="C603" s="47"/>
      <c r="D603" s="47"/>
      <c r="E603" s="47"/>
      <c r="F603" s="47"/>
      <c r="G603" s="30"/>
      <c r="H603" s="30"/>
    </row>
    <row r="604">
      <c r="A604" s="6">
        <v>604.0</v>
      </c>
      <c r="B604" s="47"/>
      <c r="C604" s="47"/>
      <c r="D604" s="47"/>
      <c r="E604" s="47"/>
      <c r="F604" s="47"/>
      <c r="G604" s="30"/>
      <c r="H604" s="30"/>
    </row>
    <row r="605">
      <c r="A605" s="6">
        <v>605.0</v>
      </c>
      <c r="B605" s="47"/>
      <c r="C605" s="47"/>
      <c r="D605" s="47"/>
      <c r="E605" s="47"/>
      <c r="F605" s="47"/>
      <c r="G605" s="30"/>
      <c r="H605" s="30"/>
    </row>
    <row r="606">
      <c r="A606" s="6">
        <v>606.0</v>
      </c>
      <c r="B606" s="47"/>
      <c r="C606" s="47"/>
      <c r="D606" s="47"/>
      <c r="E606" s="47"/>
      <c r="F606" s="47"/>
      <c r="G606" s="30"/>
      <c r="H606" s="30"/>
    </row>
    <row r="607">
      <c r="A607" s="6">
        <v>607.0</v>
      </c>
      <c r="B607" s="47"/>
      <c r="C607" s="47"/>
      <c r="D607" s="47"/>
      <c r="E607" s="47"/>
      <c r="F607" s="47"/>
      <c r="G607" s="30"/>
      <c r="H607" s="30"/>
    </row>
    <row r="608">
      <c r="A608" s="6">
        <v>608.0</v>
      </c>
      <c r="B608" s="47"/>
      <c r="C608" s="47"/>
      <c r="D608" s="47"/>
      <c r="E608" s="47"/>
      <c r="F608" s="47"/>
      <c r="G608" s="30"/>
      <c r="H608" s="30"/>
    </row>
    <row r="609">
      <c r="A609" s="6">
        <v>609.0</v>
      </c>
      <c r="B609" s="47"/>
      <c r="C609" s="47"/>
      <c r="D609" s="47"/>
      <c r="E609" s="47"/>
      <c r="F609" s="47"/>
      <c r="G609" s="30"/>
      <c r="H609" s="30"/>
    </row>
    <row r="610">
      <c r="A610" s="6">
        <v>610.0</v>
      </c>
      <c r="B610" s="47"/>
      <c r="C610" s="47"/>
      <c r="D610" s="47"/>
      <c r="E610" s="47"/>
      <c r="F610" s="47"/>
      <c r="G610" s="30"/>
      <c r="H610" s="30"/>
    </row>
    <row r="611">
      <c r="A611" s="6">
        <v>611.0</v>
      </c>
      <c r="B611" s="47"/>
      <c r="C611" s="47"/>
      <c r="D611" s="47"/>
      <c r="E611" s="47"/>
      <c r="F611" s="47"/>
      <c r="G611" s="30"/>
      <c r="H611" s="30"/>
    </row>
    <row r="612">
      <c r="A612" s="6">
        <v>612.0</v>
      </c>
      <c r="B612" s="47"/>
      <c r="C612" s="47"/>
      <c r="D612" s="47"/>
      <c r="E612" s="47"/>
      <c r="F612" s="47"/>
      <c r="G612" s="30"/>
      <c r="H612" s="30"/>
    </row>
    <row r="613">
      <c r="A613" s="6">
        <v>613.0</v>
      </c>
      <c r="B613" s="47"/>
      <c r="C613" s="47"/>
      <c r="D613" s="47"/>
      <c r="E613" s="47"/>
      <c r="F613" s="47"/>
      <c r="G613" s="30"/>
      <c r="H613" s="30"/>
    </row>
    <row r="614">
      <c r="A614" s="6">
        <v>614.0</v>
      </c>
      <c r="B614" s="47"/>
      <c r="C614" s="47"/>
      <c r="D614" s="47"/>
      <c r="E614" s="47"/>
      <c r="F614" s="47"/>
      <c r="G614" s="30"/>
      <c r="H614" s="30"/>
    </row>
    <row r="615">
      <c r="A615" s="6">
        <v>615.0</v>
      </c>
      <c r="B615" s="47"/>
      <c r="C615" s="47"/>
      <c r="D615" s="47"/>
      <c r="E615" s="47"/>
      <c r="F615" s="47"/>
      <c r="G615" s="30"/>
      <c r="H615" s="30"/>
    </row>
    <row r="616">
      <c r="A616" s="6">
        <v>616.0</v>
      </c>
      <c r="B616" s="47"/>
      <c r="C616" s="47"/>
      <c r="D616" s="47"/>
      <c r="E616" s="47"/>
      <c r="F616" s="47"/>
      <c r="G616" s="30"/>
      <c r="H616" s="30"/>
    </row>
    <row r="617">
      <c r="A617" s="6">
        <v>617.0</v>
      </c>
      <c r="B617" s="47"/>
      <c r="C617" s="47"/>
      <c r="D617" s="47"/>
      <c r="E617" s="47"/>
      <c r="F617" s="47"/>
      <c r="G617" s="30"/>
      <c r="H617" s="30"/>
    </row>
    <row r="618">
      <c r="A618" s="6">
        <v>618.0</v>
      </c>
      <c r="B618" s="47"/>
      <c r="C618" s="47"/>
      <c r="D618" s="47"/>
      <c r="E618" s="47"/>
      <c r="F618" s="47"/>
      <c r="G618" s="30"/>
      <c r="H618" s="30"/>
    </row>
    <row r="619">
      <c r="A619" s="6">
        <v>619.0</v>
      </c>
      <c r="B619" s="47"/>
      <c r="C619" s="47"/>
      <c r="D619" s="47"/>
      <c r="E619" s="47"/>
      <c r="F619" s="47"/>
      <c r="G619" s="30"/>
      <c r="H619" s="30"/>
    </row>
    <row r="620">
      <c r="A620" s="6">
        <v>620.0</v>
      </c>
      <c r="B620" s="47"/>
      <c r="C620" s="47"/>
      <c r="D620" s="47"/>
      <c r="E620" s="47"/>
      <c r="F620" s="47"/>
      <c r="G620" s="30"/>
      <c r="H620" s="30"/>
    </row>
    <row r="621">
      <c r="A621" s="6">
        <v>621.0</v>
      </c>
      <c r="B621" s="47"/>
      <c r="C621" s="47"/>
      <c r="D621" s="47"/>
      <c r="E621" s="47"/>
      <c r="F621" s="47"/>
      <c r="G621" s="30"/>
      <c r="H621" s="30"/>
    </row>
    <row r="622">
      <c r="A622" s="6">
        <v>622.0</v>
      </c>
      <c r="B622" s="47"/>
      <c r="C622" s="47"/>
      <c r="D622" s="47"/>
      <c r="E622" s="47"/>
      <c r="F622" s="47"/>
      <c r="G622" s="30"/>
      <c r="H622" s="30"/>
    </row>
    <row r="623">
      <c r="A623" s="6">
        <v>623.0</v>
      </c>
      <c r="B623" s="47"/>
      <c r="C623" s="47"/>
      <c r="D623" s="47"/>
      <c r="E623" s="47"/>
      <c r="F623" s="47"/>
      <c r="G623" s="30"/>
      <c r="H623" s="30"/>
    </row>
    <row r="624">
      <c r="A624" s="6">
        <v>624.0</v>
      </c>
      <c r="B624" s="47"/>
      <c r="C624" s="47"/>
      <c r="D624" s="47"/>
      <c r="E624" s="47"/>
      <c r="F624" s="47"/>
      <c r="G624" s="30"/>
      <c r="H624" s="30"/>
    </row>
    <row r="625">
      <c r="A625" s="6">
        <v>625.0</v>
      </c>
      <c r="B625" s="47"/>
      <c r="C625" s="47"/>
      <c r="D625" s="47"/>
      <c r="E625" s="47"/>
      <c r="F625" s="47"/>
      <c r="G625" s="30"/>
      <c r="H625" s="30"/>
    </row>
    <row r="626">
      <c r="A626" s="6">
        <v>626.0</v>
      </c>
      <c r="B626" s="47"/>
      <c r="C626" s="47"/>
      <c r="D626" s="47"/>
      <c r="E626" s="47"/>
      <c r="F626" s="47"/>
      <c r="G626" s="30"/>
      <c r="H626" s="30"/>
    </row>
    <row r="627">
      <c r="A627" s="6">
        <v>627.0</v>
      </c>
      <c r="B627" s="47"/>
      <c r="C627" s="47"/>
      <c r="D627" s="47"/>
      <c r="E627" s="47"/>
      <c r="F627" s="47"/>
      <c r="G627" s="30"/>
      <c r="H627" s="30"/>
    </row>
    <row r="628">
      <c r="A628" s="6">
        <v>628.0</v>
      </c>
      <c r="B628" s="47"/>
      <c r="C628" s="47"/>
      <c r="D628" s="47"/>
      <c r="E628" s="47"/>
      <c r="F628" s="47"/>
      <c r="G628" s="30"/>
      <c r="H628" s="30"/>
    </row>
    <row r="629">
      <c r="A629" s="6">
        <v>629.0</v>
      </c>
      <c r="B629" s="47"/>
      <c r="C629" s="47"/>
      <c r="D629" s="47"/>
      <c r="E629" s="47"/>
      <c r="F629" s="47"/>
      <c r="G629" s="30"/>
      <c r="H629" s="30"/>
    </row>
    <row r="630">
      <c r="A630" s="6">
        <v>630.0</v>
      </c>
      <c r="B630" s="47"/>
      <c r="C630" s="47"/>
      <c r="D630" s="47"/>
      <c r="E630" s="47"/>
      <c r="F630" s="47"/>
      <c r="G630" s="30"/>
      <c r="H630" s="30"/>
    </row>
    <row r="631">
      <c r="A631" s="6">
        <v>631.0</v>
      </c>
      <c r="B631" s="47"/>
      <c r="C631" s="47"/>
      <c r="D631" s="47"/>
      <c r="E631" s="47"/>
      <c r="F631" s="47"/>
      <c r="G631" s="30"/>
      <c r="H631" s="30"/>
    </row>
    <row r="632">
      <c r="A632" s="6">
        <v>632.0</v>
      </c>
      <c r="B632" s="47"/>
      <c r="C632" s="47"/>
      <c r="D632" s="47"/>
      <c r="E632" s="47"/>
      <c r="F632" s="47"/>
      <c r="G632" s="30"/>
      <c r="H632" s="30"/>
    </row>
    <row r="633">
      <c r="A633" s="6">
        <v>633.0</v>
      </c>
      <c r="B633" s="47"/>
      <c r="C633" s="47"/>
      <c r="D633" s="47"/>
      <c r="E633" s="47"/>
      <c r="F633" s="47"/>
      <c r="G633" s="30"/>
      <c r="H633" s="30"/>
    </row>
    <row r="634">
      <c r="A634" s="6">
        <v>634.0</v>
      </c>
      <c r="B634" s="47"/>
      <c r="C634" s="47"/>
      <c r="D634" s="47"/>
      <c r="E634" s="47"/>
      <c r="F634" s="47"/>
      <c r="G634" s="30"/>
      <c r="H634" s="30"/>
    </row>
    <row r="635">
      <c r="A635" s="6">
        <v>635.0</v>
      </c>
      <c r="B635" s="47"/>
      <c r="C635" s="47"/>
      <c r="D635" s="47"/>
      <c r="E635" s="47"/>
      <c r="F635" s="47"/>
      <c r="G635" s="30"/>
      <c r="H635" s="30"/>
    </row>
    <row r="636">
      <c r="A636" s="6">
        <v>636.0</v>
      </c>
      <c r="B636" s="47"/>
      <c r="C636" s="47"/>
      <c r="D636" s="47"/>
      <c r="E636" s="47"/>
      <c r="F636" s="47"/>
      <c r="G636" s="30"/>
      <c r="H636" s="30"/>
    </row>
    <row r="637">
      <c r="A637" s="6">
        <v>637.0</v>
      </c>
      <c r="B637" s="47"/>
      <c r="C637" s="47"/>
      <c r="D637" s="47"/>
      <c r="E637" s="47"/>
      <c r="F637" s="47"/>
      <c r="G637" s="30"/>
      <c r="H637" s="30"/>
    </row>
    <row r="638">
      <c r="A638" s="6">
        <v>638.0</v>
      </c>
      <c r="B638" s="47"/>
      <c r="C638" s="47"/>
      <c r="D638" s="47"/>
      <c r="E638" s="47"/>
      <c r="F638" s="47"/>
      <c r="G638" s="30"/>
      <c r="H638" s="30"/>
    </row>
    <row r="639">
      <c r="A639" s="6">
        <v>639.0</v>
      </c>
      <c r="B639" s="47"/>
      <c r="C639" s="47"/>
      <c r="D639" s="47"/>
      <c r="E639" s="47"/>
      <c r="F639" s="47"/>
      <c r="G639" s="30"/>
      <c r="H639" s="30"/>
    </row>
    <row r="640">
      <c r="A640" s="6">
        <v>640.0</v>
      </c>
      <c r="B640" s="47"/>
      <c r="C640" s="47"/>
      <c r="D640" s="47"/>
      <c r="E640" s="47"/>
      <c r="F640" s="47"/>
      <c r="G640" s="30"/>
      <c r="H640" s="30"/>
    </row>
    <row r="641">
      <c r="A641" s="6">
        <v>641.0</v>
      </c>
      <c r="B641" s="47"/>
      <c r="C641" s="47"/>
      <c r="D641" s="47"/>
      <c r="E641" s="47"/>
      <c r="F641" s="47"/>
      <c r="G641" s="30"/>
      <c r="H641" s="30"/>
    </row>
    <row r="642">
      <c r="A642" s="6">
        <v>642.0</v>
      </c>
      <c r="B642" s="47"/>
      <c r="C642" s="47"/>
      <c r="D642" s="47"/>
      <c r="E642" s="47"/>
      <c r="F642" s="47"/>
      <c r="G642" s="30"/>
      <c r="H642" s="30"/>
    </row>
    <row r="643">
      <c r="A643" s="6">
        <v>643.0</v>
      </c>
      <c r="B643" s="47"/>
      <c r="C643" s="47"/>
      <c r="D643" s="47"/>
      <c r="E643" s="47"/>
      <c r="F643" s="47"/>
      <c r="G643" s="30"/>
      <c r="H643" s="30"/>
    </row>
    <row r="644">
      <c r="A644" s="6">
        <v>644.0</v>
      </c>
      <c r="B644" s="47"/>
      <c r="C644" s="47"/>
      <c r="D644" s="47"/>
      <c r="E644" s="47"/>
      <c r="F644" s="47"/>
      <c r="G644" s="30"/>
      <c r="H644" s="30"/>
    </row>
    <row r="645">
      <c r="A645" s="6">
        <v>645.0</v>
      </c>
      <c r="B645" s="47"/>
      <c r="C645" s="47"/>
      <c r="D645" s="47"/>
      <c r="E645" s="47"/>
      <c r="F645" s="47"/>
      <c r="G645" s="30"/>
      <c r="H645" s="30"/>
    </row>
    <row r="646">
      <c r="A646" s="6">
        <v>646.0</v>
      </c>
      <c r="B646" s="47"/>
      <c r="C646" s="47"/>
      <c r="D646" s="47"/>
      <c r="E646" s="47"/>
      <c r="F646" s="47"/>
      <c r="G646" s="30"/>
      <c r="H646" s="30"/>
    </row>
    <row r="647">
      <c r="A647" s="6">
        <v>647.0</v>
      </c>
      <c r="B647" s="47"/>
      <c r="C647" s="47"/>
      <c r="D647" s="47"/>
      <c r="E647" s="47"/>
      <c r="F647" s="47"/>
      <c r="G647" s="30"/>
      <c r="H647" s="30"/>
    </row>
    <row r="648">
      <c r="A648" s="6">
        <v>648.0</v>
      </c>
      <c r="B648" s="47"/>
      <c r="C648" s="47"/>
      <c r="D648" s="47"/>
      <c r="E648" s="47"/>
      <c r="F648" s="47"/>
      <c r="G648" s="30"/>
      <c r="H648" s="30"/>
    </row>
    <row r="649">
      <c r="A649" s="6">
        <v>649.0</v>
      </c>
      <c r="B649" s="47"/>
      <c r="C649" s="47"/>
      <c r="D649" s="47"/>
      <c r="E649" s="47"/>
      <c r="F649" s="47"/>
      <c r="G649" s="30"/>
      <c r="H649" s="30"/>
    </row>
    <row r="650">
      <c r="A650" s="6">
        <v>650.0</v>
      </c>
      <c r="B650" s="47"/>
      <c r="C650" s="47"/>
      <c r="D650" s="47"/>
      <c r="E650" s="47"/>
      <c r="F650" s="47"/>
      <c r="G650" s="30"/>
      <c r="H650" s="30"/>
    </row>
    <row r="651">
      <c r="A651" s="6">
        <v>651.0</v>
      </c>
      <c r="B651" s="47"/>
      <c r="C651" s="47"/>
      <c r="D651" s="47"/>
      <c r="E651" s="47"/>
      <c r="F651" s="47"/>
      <c r="G651" s="30"/>
      <c r="H651" s="30"/>
    </row>
    <row r="652">
      <c r="A652" s="6">
        <v>652.0</v>
      </c>
      <c r="B652" s="47"/>
      <c r="C652" s="47"/>
      <c r="D652" s="47"/>
      <c r="E652" s="47"/>
      <c r="F652" s="47"/>
      <c r="G652" s="30"/>
      <c r="H652" s="30"/>
    </row>
    <row r="653">
      <c r="A653" s="6">
        <v>653.0</v>
      </c>
      <c r="B653" s="47"/>
      <c r="C653" s="47"/>
      <c r="D653" s="47"/>
      <c r="E653" s="47"/>
      <c r="F653" s="47"/>
      <c r="G653" s="30"/>
      <c r="H653" s="30"/>
    </row>
    <row r="654">
      <c r="A654" s="6">
        <v>654.0</v>
      </c>
      <c r="B654" s="47"/>
      <c r="C654" s="47"/>
      <c r="D654" s="47"/>
      <c r="E654" s="47"/>
      <c r="F654" s="47"/>
      <c r="G654" s="30"/>
      <c r="H654" s="30"/>
    </row>
    <row r="655">
      <c r="A655" s="6">
        <v>655.0</v>
      </c>
      <c r="B655" s="47"/>
      <c r="C655" s="47"/>
      <c r="D655" s="47"/>
      <c r="E655" s="47"/>
      <c r="F655" s="47"/>
      <c r="G655" s="30"/>
      <c r="H655" s="30"/>
    </row>
    <row r="656">
      <c r="A656" s="6">
        <v>656.0</v>
      </c>
      <c r="B656" s="47"/>
      <c r="C656" s="47"/>
      <c r="D656" s="47"/>
      <c r="E656" s="47"/>
      <c r="F656" s="47"/>
      <c r="G656" s="30"/>
      <c r="H656" s="30"/>
    </row>
    <row r="657">
      <c r="A657" s="6">
        <v>657.0</v>
      </c>
      <c r="B657" s="47"/>
      <c r="C657" s="47"/>
      <c r="D657" s="47"/>
      <c r="E657" s="47"/>
      <c r="F657" s="47"/>
      <c r="G657" s="30"/>
      <c r="H657" s="30"/>
    </row>
    <row r="658">
      <c r="A658" s="6">
        <v>658.0</v>
      </c>
      <c r="B658" s="47"/>
      <c r="C658" s="47"/>
      <c r="D658" s="47"/>
      <c r="E658" s="47"/>
      <c r="F658" s="47"/>
      <c r="G658" s="30"/>
      <c r="H658" s="30"/>
    </row>
    <row r="659">
      <c r="A659" s="6">
        <v>659.0</v>
      </c>
      <c r="B659" s="47"/>
      <c r="C659" s="47"/>
      <c r="D659" s="47"/>
      <c r="E659" s="47"/>
      <c r="F659" s="47"/>
      <c r="G659" s="30"/>
      <c r="H659" s="30"/>
    </row>
    <row r="660">
      <c r="A660" s="6">
        <v>660.0</v>
      </c>
      <c r="B660" s="47"/>
      <c r="C660" s="47"/>
      <c r="D660" s="47"/>
      <c r="E660" s="47"/>
      <c r="F660" s="47"/>
      <c r="G660" s="30"/>
      <c r="H660" s="30"/>
    </row>
    <row r="661">
      <c r="A661" s="6">
        <v>661.0</v>
      </c>
      <c r="B661" s="47"/>
      <c r="C661" s="47"/>
      <c r="D661" s="47"/>
      <c r="E661" s="47"/>
      <c r="F661" s="47"/>
      <c r="G661" s="30"/>
      <c r="H661" s="30"/>
    </row>
    <row r="662">
      <c r="A662" s="6">
        <v>662.0</v>
      </c>
      <c r="B662" s="47"/>
      <c r="C662" s="47"/>
      <c r="D662" s="47"/>
      <c r="E662" s="47"/>
      <c r="F662" s="47"/>
      <c r="G662" s="30"/>
      <c r="H662" s="30"/>
    </row>
    <row r="663">
      <c r="A663" s="6">
        <v>663.0</v>
      </c>
      <c r="B663" s="47"/>
      <c r="C663" s="47"/>
      <c r="D663" s="47"/>
      <c r="E663" s="47"/>
      <c r="F663" s="47"/>
      <c r="G663" s="30"/>
      <c r="H663" s="30"/>
    </row>
    <row r="664">
      <c r="A664" s="6">
        <v>664.0</v>
      </c>
      <c r="B664" s="47"/>
      <c r="C664" s="47"/>
      <c r="D664" s="47"/>
      <c r="E664" s="47"/>
      <c r="F664" s="47"/>
      <c r="G664" s="30"/>
      <c r="H664" s="30"/>
    </row>
    <row r="665">
      <c r="A665" s="6">
        <v>665.0</v>
      </c>
      <c r="B665" s="47"/>
      <c r="C665" s="47"/>
      <c r="D665" s="47"/>
      <c r="E665" s="47"/>
      <c r="F665" s="47"/>
      <c r="G665" s="30"/>
      <c r="H665" s="30"/>
    </row>
    <row r="666">
      <c r="A666" s="6">
        <v>666.0</v>
      </c>
      <c r="B666" s="47"/>
      <c r="C666" s="47"/>
      <c r="D666" s="47"/>
      <c r="E666" s="47"/>
      <c r="F666" s="47"/>
      <c r="G666" s="30"/>
      <c r="H666" s="30"/>
    </row>
    <row r="667">
      <c r="A667" s="6">
        <v>667.0</v>
      </c>
      <c r="B667" s="47"/>
      <c r="C667" s="47"/>
      <c r="D667" s="47"/>
      <c r="E667" s="47"/>
      <c r="F667" s="47"/>
      <c r="G667" s="30"/>
      <c r="H667" s="30"/>
    </row>
    <row r="668">
      <c r="A668" s="6">
        <v>668.0</v>
      </c>
      <c r="B668" s="47"/>
      <c r="C668" s="47"/>
      <c r="D668" s="47"/>
      <c r="E668" s="47"/>
      <c r="F668" s="47"/>
      <c r="G668" s="30"/>
      <c r="H668" s="30"/>
    </row>
    <row r="669">
      <c r="A669" s="6">
        <v>669.0</v>
      </c>
      <c r="B669" s="47"/>
      <c r="C669" s="47"/>
      <c r="D669" s="47"/>
      <c r="E669" s="47"/>
      <c r="F669" s="47"/>
      <c r="G669" s="30"/>
      <c r="H669" s="30"/>
    </row>
    <row r="670">
      <c r="A670" s="6">
        <v>670.0</v>
      </c>
      <c r="B670" s="47"/>
      <c r="C670" s="47"/>
      <c r="D670" s="47"/>
      <c r="E670" s="47"/>
      <c r="F670" s="47"/>
      <c r="G670" s="30"/>
      <c r="H670" s="30"/>
    </row>
    <row r="671">
      <c r="A671" s="6">
        <v>671.0</v>
      </c>
      <c r="B671" s="47"/>
      <c r="C671" s="47"/>
      <c r="D671" s="47"/>
      <c r="E671" s="47"/>
      <c r="F671" s="47"/>
      <c r="G671" s="30"/>
      <c r="H671" s="30"/>
    </row>
    <row r="672">
      <c r="A672" s="6">
        <v>672.0</v>
      </c>
      <c r="B672" s="47"/>
      <c r="C672" s="47"/>
      <c r="D672" s="47"/>
      <c r="E672" s="47"/>
      <c r="F672" s="47"/>
      <c r="G672" s="30"/>
      <c r="H672" s="30"/>
    </row>
    <row r="673">
      <c r="A673" s="6">
        <v>673.0</v>
      </c>
      <c r="B673" s="47"/>
      <c r="C673" s="47"/>
      <c r="D673" s="47"/>
      <c r="E673" s="47"/>
      <c r="F673" s="47"/>
      <c r="G673" s="30"/>
      <c r="H673" s="30"/>
    </row>
    <row r="674">
      <c r="A674" s="6">
        <v>674.0</v>
      </c>
      <c r="B674" s="47"/>
      <c r="C674" s="47"/>
      <c r="D674" s="47"/>
      <c r="E674" s="47"/>
      <c r="F674" s="47"/>
      <c r="G674" s="30"/>
      <c r="H674" s="30"/>
    </row>
    <row r="675">
      <c r="A675" s="6">
        <v>675.0</v>
      </c>
      <c r="B675" s="47"/>
      <c r="C675" s="47"/>
      <c r="D675" s="47"/>
      <c r="E675" s="47"/>
      <c r="F675" s="47"/>
      <c r="G675" s="30"/>
      <c r="H675" s="30"/>
    </row>
    <row r="676">
      <c r="A676" s="6">
        <v>676.0</v>
      </c>
      <c r="B676" s="47"/>
      <c r="C676" s="47"/>
      <c r="D676" s="47"/>
      <c r="E676" s="47"/>
      <c r="F676" s="47"/>
      <c r="G676" s="30"/>
      <c r="H676" s="30"/>
    </row>
    <row r="677">
      <c r="A677" s="6">
        <v>677.0</v>
      </c>
      <c r="B677" s="47"/>
      <c r="C677" s="47"/>
      <c r="D677" s="47"/>
      <c r="E677" s="47"/>
      <c r="F677" s="47"/>
      <c r="G677" s="30"/>
      <c r="H677" s="30"/>
    </row>
    <row r="678">
      <c r="A678" s="6">
        <v>678.0</v>
      </c>
      <c r="B678" s="47"/>
      <c r="C678" s="47"/>
      <c r="D678" s="47"/>
      <c r="E678" s="47"/>
      <c r="F678" s="47"/>
      <c r="G678" s="30"/>
      <c r="H678" s="30"/>
    </row>
    <row r="679">
      <c r="A679" s="6">
        <v>679.0</v>
      </c>
      <c r="B679" s="47"/>
      <c r="C679" s="47"/>
      <c r="D679" s="47"/>
      <c r="E679" s="47"/>
      <c r="F679" s="47"/>
      <c r="G679" s="30"/>
      <c r="H679" s="30"/>
    </row>
    <row r="680">
      <c r="A680" s="6">
        <v>680.0</v>
      </c>
      <c r="B680" s="47"/>
      <c r="C680" s="47"/>
      <c r="D680" s="47"/>
      <c r="E680" s="47"/>
      <c r="F680" s="47"/>
      <c r="G680" s="30"/>
      <c r="H680" s="30"/>
    </row>
    <row r="681">
      <c r="A681" s="6">
        <v>681.0</v>
      </c>
      <c r="B681" s="47"/>
      <c r="C681" s="47"/>
      <c r="D681" s="47"/>
      <c r="E681" s="47"/>
      <c r="F681" s="47"/>
      <c r="G681" s="30"/>
      <c r="H681" s="30"/>
    </row>
    <row r="682">
      <c r="A682" s="6">
        <v>682.0</v>
      </c>
      <c r="B682" s="47"/>
      <c r="C682" s="47"/>
      <c r="D682" s="47"/>
      <c r="E682" s="47"/>
      <c r="F682" s="47"/>
      <c r="G682" s="30"/>
      <c r="H682" s="30"/>
    </row>
    <row r="683">
      <c r="A683" s="6">
        <v>683.0</v>
      </c>
      <c r="B683" s="47"/>
      <c r="C683" s="47"/>
      <c r="D683" s="47"/>
      <c r="E683" s="47"/>
      <c r="F683" s="47"/>
      <c r="G683" s="30"/>
      <c r="H683" s="30"/>
    </row>
    <row r="684">
      <c r="A684" s="6">
        <v>684.0</v>
      </c>
      <c r="B684" s="47"/>
      <c r="C684" s="47"/>
      <c r="D684" s="47"/>
      <c r="E684" s="47"/>
      <c r="F684" s="47"/>
      <c r="G684" s="30"/>
      <c r="H684" s="30"/>
    </row>
    <row r="685">
      <c r="A685" s="6">
        <v>685.0</v>
      </c>
      <c r="B685" s="47"/>
      <c r="C685" s="47"/>
      <c r="D685" s="47"/>
      <c r="E685" s="47"/>
      <c r="F685" s="47"/>
      <c r="G685" s="30"/>
      <c r="H685" s="30"/>
    </row>
    <row r="686">
      <c r="A686" s="6">
        <v>686.0</v>
      </c>
      <c r="B686" s="47"/>
      <c r="C686" s="47"/>
      <c r="D686" s="47"/>
      <c r="E686" s="47"/>
      <c r="F686" s="47"/>
      <c r="G686" s="30"/>
      <c r="H686" s="30"/>
    </row>
    <row r="687">
      <c r="A687" s="6">
        <v>687.0</v>
      </c>
      <c r="B687" s="47"/>
      <c r="C687" s="47"/>
      <c r="D687" s="47"/>
      <c r="E687" s="47"/>
      <c r="F687" s="47"/>
      <c r="G687" s="30"/>
      <c r="H687" s="30"/>
    </row>
    <row r="688">
      <c r="A688" s="6">
        <v>688.0</v>
      </c>
      <c r="B688" s="47"/>
      <c r="C688" s="47"/>
      <c r="D688" s="47"/>
      <c r="E688" s="47"/>
      <c r="F688" s="47"/>
      <c r="G688" s="30"/>
      <c r="H688" s="30"/>
    </row>
    <row r="689">
      <c r="A689" s="6">
        <v>689.0</v>
      </c>
      <c r="B689" s="47"/>
      <c r="C689" s="47"/>
      <c r="D689" s="47"/>
      <c r="E689" s="47"/>
      <c r="F689" s="47"/>
      <c r="G689" s="30"/>
      <c r="H689" s="30"/>
    </row>
    <row r="690">
      <c r="A690" s="6">
        <v>690.0</v>
      </c>
      <c r="B690" s="47"/>
      <c r="C690" s="47"/>
      <c r="D690" s="47"/>
      <c r="E690" s="47"/>
      <c r="F690" s="47"/>
      <c r="G690" s="30"/>
      <c r="H690" s="30"/>
    </row>
    <row r="691">
      <c r="A691" s="6">
        <v>691.0</v>
      </c>
      <c r="B691" s="47"/>
      <c r="C691" s="47"/>
      <c r="D691" s="47"/>
      <c r="E691" s="47"/>
      <c r="F691" s="47"/>
      <c r="G691" s="30"/>
      <c r="H691" s="30"/>
    </row>
    <row r="692">
      <c r="A692" s="6">
        <v>692.0</v>
      </c>
      <c r="B692" s="47"/>
      <c r="C692" s="47"/>
      <c r="D692" s="47"/>
      <c r="E692" s="47"/>
      <c r="F692" s="47"/>
      <c r="G692" s="30"/>
      <c r="H692" s="30"/>
    </row>
    <row r="693">
      <c r="A693" s="6">
        <v>693.0</v>
      </c>
      <c r="B693" s="47"/>
      <c r="C693" s="47"/>
      <c r="D693" s="47"/>
      <c r="E693" s="47"/>
      <c r="F693" s="47"/>
      <c r="G693" s="30"/>
      <c r="H693" s="30"/>
    </row>
    <row r="694">
      <c r="A694" s="6">
        <v>694.0</v>
      </c>
      <c r="B694" s="47"/>
      <c r="C694" s="47"/>
      <c r="D694" s="47"/>
      <c r="E694" s="47"/>
      <c r="F694" s="47"/>
      <c r="G694" s="30"/>
      <c r="H694" s="30"/>
    </row>
    <row r="695">
      <c r="A695" s="6">
        <v>695.0</v>
      </c>
      <c r="B695" s="47"/>
      <c r="C695" s="47"/>
      <c r="D695" s="47"/>
      <c r="E695" s="47"/>
      <c r="F695" s="47"/>
      <c r="G695" s="30"/>
      <c r="H695" s="30"/>
    </row>
    <row r="696">
      <c r="A696" s="6">
        <v>696.0</v>
      </c>
      <c r="B696" s="47"/>
      <c r="C696" s="47"/>
      <c r="D696" s="47"/>
      <c r="E696" s="47"/>
      <c r="F696" s="47"/>
      <c r="G696" s="30"/>
      <c r="H696" s="30"/>
    </row>
    <row r="697">
      <c r="A697" s="6">
        <v>697.0</v>
      </c>
      <c r="B697" s="47"/>
      <c r="C697" s="47"/>
      <c r="D697" s="47"/>
      <c r="E697" s="47"/>
      <c r="F697" s="47"/>
      <c r="G697" s="30"/>
      <c r="H697" s="30"/>
    </row>
    <row r="698">
      <c r="A698" s="6">
        <v>698.0</v>
      </c>
      <c r="B698" s="47"/>
      <c r="C698" s="47"/>
      <c r="D698" s="47"/>
      <c r="E698" s="47"/>
      <c r="F698" s="47"/>
      <c r="G698" s="30"/>
      <c r="H698" s="30"/>
    </row>
    <row r="699">
      <c r="A699" s="6">
        <v>699.0</v>
      </c>
      <c r="B699" s="47"/>
      <c r="C699" s="47"/>
      <c r="D699" s="47"/>
      <c r="E699" s="47"/>
      <c r="F699" s="47"/>
      <c r="G699" s="30"/>
      <c r="H699" s="30"/>
    </row>
    <row r="700">
      <c r="A700" s="6">
        <v>700.0</v>
      </c>
      <c r="B700" s="47"/>
      <c r="C700" s="47"/>
      <c r="D700" s="47"/>
      <c r="E700" s="47"/>
      <c r="F700" s="47"/>
      <c r="G700" s="30"/>
      <c r="H700" s="30"/>
    </row>
    <row r="701">
      <c r="A701" s="6">
        <v>701.0</v>
      </c>
      <c r="B701" s="47"/>
      <c r="C701" s="47"/>
      <c r="D701" s="47"/>
      <c r="E701" s="47"/>
      <c r="F701" s="47"/>
      <c r="G701" s="30"/>
      <c r="H701" s="30"/>
    </row>
    <row r="702">
      <c r="A702" s="6">
        <v>702.0</v>
      </c>
      <c r="B702" s="47"/>
      <c r="C702" s="47"/>
      <c r="D702" s="47"/>
      <c r="E702" s="47"/>
      <c r="F702" s="47"/>
      <c r="G702" s="30"/>
      <c r="H702" s="30"/>
    </row>
    <row r="703">
      <c r="A703" s="6">
        <v>703.0</v>
      </c>
      <c r="B703" s="47"/>
      <c r="C703" s="47"/>
      <c r="D703" s="47"/>
      <c r="E703" s="47"/>
      <c r="F703" s="47"/>
      <c r="G703" s="30"/>
      <c r="H703" s="30"/>
    </row>
    <row r="704">
      <c r="A704" s="6">
        <v>704.0</v>
      </c>
      <c r="B704" s="47"/>
      <c r="C704" s="47"/>
      <c r="D704" s="47"/>
      <c r="E704" s="47"/>
      <c r="F704" s="47"/>
      <c r="G704" s="30"/>
      <c r="H704" s="30"/>
    </row>
    <row r="705">
      <c r="A705" s="6">
        <v>705.0</v>
      </c>
      <c r="B705" s="47"/>
      <c r="C705" s="47"/>
      <c r="D705" s="47"/>
      <c r="E705" s="47"/>
      <c r="F705" s="47"/>
      <c r="G705" s="30"/>
      <c r="H705" s="30"/>
    </row>
    <row r="706">
      <c r="A706" s="6">
        <v>706.0</v>
      </c>
      <c r="B706" s="47"/>
      <c r="C706" s="47"/>
      <c r="D706" s="47"/>
      <c r="E706" s="47"/>
      <c r="F706" s="47"/>
      <c r="G706" s="30"/>
      <c r="H706" s="30"/>
    </row>
    <row r="707">
      <c r="A707" s="6">
        <v>707.0</v>
      </c>
      <c r="B707" s="47"/>
      <c r="C707" s="47"/>
      <c r="D707" s="47"/>
      <c r="E707" s="47"/>
      <c r="F707" s="47"/>
      <c r="G707" s="30"/>
      <c r="H707" s="30"/>
    </row>
    <row r="708">
      <c r="A708" s="6">
        <v>708.0</v>
      </c>
      <c r="B708" s="47"/>
      <c r="C708" s="47"/>
      <c r="D708" s="47"/>
      <c r="E708" s="47"/>
      <c r="F708" s="47"/>
      <c r="G708" s="30"/>
      <c r="H708" s="30"/>
    </row>
    <row r="709">
      <c r="A709" s="6">
        <v>709.0</v>
      </c>
      <c r="B709" s="47"/>
      <c r="C709" s="47"/>
      <c r="D709" s="47"/>
      <c r="E709" s="47"/>
      <c r="F709" s="47"/>
      <c r="G709" s="30"/>
      <c r="H709" s="30"/>
    </row>
    <row r="710">
      <c r="A710" s="6">
        <v>710.0</v>
      </c>
      <c r="B710" s="47"/>
      <c r="C710" s="47"/>
      <c r="D710" s="47"/>
      <c r="E710" s="47"/>
      <c r="F710" s="47"/>
      <c r="G710" s="30"/>
      <c r="H710" s="30"/>
    </row>
    <row r="711">
      <c r="A711" s="6">
        <v>711.0</v>
      </c>
      <c r="B711" s="47"/>
      <c r="C711" s="47"/>
      <c r="D711" s="47"/>
      <c r="E711" s="47"/>
      <c r="F711" s="47"/>
      <c r="G711" s="30"/>
      <c r="H711" s="30"/>
    </row>
    <row r="712">
      <c r="A712" s="6">
        <v>712.0</v>
      </c>
      <c r="B712" s="47"/>
      <c r="C712" s="47"/>
      <c r="D712" s="47"/>
      <c r="E712" s="47"/>
      <c r="F712" s="47"/>
      <c r="G712" s="30"/>
      <c r="H712" s="30"/>
    </row>
    <row r="713">
      <c r="A713" s="6">
        <v>713.0</v>
      </c>
      <c r="B713" s="47"/>
      <c r="C713" s="47"/>
      <c r="D713" s="47"/>
      <c r="E713" s="47"/>
      <c r="F713" s="47"/>
      <c r="G713" s="30"/>
      <c r="H713" s="30"/>
    </row>
    <row r="714">
      <c r="A714" s="6">
        <v>714.0</v>
      </c>
      <c r="B714" s="47"/>
      <c r="C714" s="47"/>
      <c r="D714" s="47"/>
      <c r="E714" s="47"/>
      <c r="F714" s="47"/>
      <c r="G714" s="30"/>
      <c r="H714" s="30"/>
    </row>
    <row r="715">
      <c r="A715" s="6">
        <v>715.0</v>
      </c>
      <c r="B715" s="47"/>
      <c r="C715" s="47"/>
      <c r="D715" s="47"/>
      <c r="E715" s="47"/>
      <c r="F715" s="47"/>
      <c r="G715" s="30"/>
      <c r="H715" s="30"/>
    </row>
    <row r="716">
      <c r="A716" s="6">
        <v>716.0</v>
      </c>
      <c r="B716" s="47"/>
      <c r="C716" s="47"/>
      <c r="D716" s="47"/>
      <c r="E716" s="47"/>
      <c r="F716" s="47"/>
      <c r="G716" s="30"/>
      <c r="H716" s="30"/>
    </row>
    <row r="717">
      <c r="A717" s="6">
        <v>717.0</v>
      </c>
      <c r="B717" s="47"/>
      <c r="C717" s="47"/>
      <c r="D717" s="47"/>
      <c r="E717" s="47"/>
      <c r="F717" s="47"/>
      <c r="G717" s="30"/>
      <c r="H717" s="30"/>
    </row>
    <row r="718">
      <c r="A718" s="6">
        <v>718.0</v>
      </c>
      <c r="B718" s="47"/>
      <c r="C718" s="47"/>
      <c r="D718" s="47"/>
      <c r="E718" s="47"/>
      <c r="F718" s="47"/>
      <c r="G718" s="30"/>
      <c r="H718" s="30"/>
    </row>
    <row r="719">
      <c r="A719" s="6">
        <v>719.0</v>
      </c>
      <c r="B719" s="47"/>
      <c r="C719" s="47"/>
      <c r="D719" s="47"/>
      <c r="E719" s="47"/>
      <c r="F719" s="47"/>
      <c r="G719" s="30"/>
      <c r="H719" s="30"/>
    </row>
    <row r="720">
      <c r="A720" s="6">
        <v>720.0</v>
      </c>
      <c r="B720" s="47"/>
      <c r="C720" s="47"/>
      <c r="D720" s="47"/>
      <c r="E720" s="47"/>
      <c r="F720" s="47"/>
      <c r="G720" s="30"/>
      <c r="H720" s="30"/>
    </row>
    <row r="721">
      <c r="A721" s="6">
        <v>721.0</v>
      </c>
      <c r="B721" s="47"/>
      <c r="C721" s="47"/>
      <c r="D721" s="47"/>
      <c r="E721" s="47"/>
      <c r="F721" s="47"/>
      <c r="G721" s="30"/>
      <c r="H721" s="30"/>
    </row>
    <row r="722">
      <c r="A722" s="6">
        <v>722.0</v>
      </c>
      <c r="B722" s="47"/>
      <c r="C722" s="47"/>
      <c r="D722" s="47"/>
      <c r="E722" s="47"/>
      <c r="F722" s="47"/>
      <c r="G722" s="30"/>
      <c r="H722" s="30"/>
    </row>
    <row r="723">
      <c r="A723" s="6">
        <v>723.0</v>
      </c>
      <c r="B723" s="47"/>
      <c r="C723" s="47"/>
      <c r="D723" s="47"/>
      <c r="E723" s="47"/>
      <c r="F723" s="47"/>
      <c r="G723" s="30"/>
      <c r="H723" s="30"/>
    </row>
    <row r="724">
      <c r="A724" s="6">
        <v>724.0</v>
      </c>
      <c r="B724" s="47"/>
      <c r="C724" s="47"/>
      <c r="D724" s="47"/>
      <c r="E724" s="47"/>
      <c r="F724" s="47"/>
      <c r="G724" s="30"/>
      <c r="H724" s="30"/>
    </row>
    <row r="725">
      <c r="A725" s="6">
        <v>725.0</v>
      </c>
      <c r="B725" s="47"/>
      <c r="C725" s="47"/>
      <c r="D725" s="47"/>
      <c r="E725" s="47"/>
      <c r="F725" s="47"/>
      <c r="G725" s="30"/>
      <c r="H725" s="30"/>
    </row>
    <row r="726">
      <c r="A726" s="6">
        <v>726.0</v>
      </c>
      <c r="B726" s="47"/>
      <c r="C726" s="47"/>
      <c r="D726" s="47"/>
      <c r="E726" s="47"/>
      <c r="F726" s="47"/>
      <c r="G726" s="30"/>
      <c r="H726" s="30"/>
    </row>
    <row r="727">
      <c r="A727" s="6">
        <v>727.0</v>
      </c>
      <c r="B727" s="47"/>
      <c r="C727" s="47"/>
      <c r="D727" s="47"/>
      <c r="E727" s="47"/>
      <c r="F727" s="47"/>
      <c r="G727" s="30"/>
      <c r="H727" s="30"/>
    </row>
    <row r="728">
      <c r="A728" s="6">
        <v>728.0</v>
      </c>
      <c r="B728" s="47"/>
      <c r="C728" s="47"/>
      <c r="D728" s="47"/>
      <c r="E728" s="47"/>
      <c r="F728" s="47"/>
      <c r="G728" s="30"/>
      <c r="H728" s="30"/>
    </row>
    <row r="729">
      <c r="A729" s="6">
        <v>729.0</v>
      </c>
      <c r="B729" s="47"/>
      <c r="C729" s="47"/>
      <c r="D729" s="47"/>
      <c r="E729" s="47"/>
      <c r="F729" s="47"/>
      <c r="G729" s="30"/>
      <c r="H729" s="30"/>
    </row>
    <row r="730">
      <c r="A730" s="6">
        <v>730.0</v>
      </c>
      <c r="B730" s="47"/>
      <c r="C730" s="47"/>
      <c r="D730" s="47"/>
      <c r="E730" s="47"/>
      <c r="F730" s="47"/>
      <c r="G730" s="30"/>
      <c r="H730" s="30"/>
    </row>
    <row r="731">
      <c r="A731" s="6">
        <v>731.0</v>
      </c>
      <c r="B731" s="47"/>
      <c r="C731" s="47"/>
      <c r="D731" s="47"/>
      <c r="E731" s="47"/>
      <c r="F731" s="47"/>
      <c r="G731" s="30"/>
      <c r="H731" s="30"/>
    </row>
    <row r="732">
      <c r="A732" s="6">
        <v>732.0</v>
      </c>
      <c r="B732" s="47"/>
      <c r="C732" s="47"/>
      <c r="D732" s="47"/>
      <c r="E732" s="47"/>
      <c r="F732" s="47"/>
      <c r="G732" s="30"/>
      <c r="H732" s="30"/>
    </row>
    <row r="733">
      <c r="A733" s="6">
        <v>733.0</v>
      </c>
      <c r="B733" s="47"/>
      <c r="C733" s="47"/>
      <c r="D733" s="47"/>
      <c r="E733" s="47"/>
      <c r="F733" s="47"/>
      <c r="G733" s="30"/>
      <c r="H733" s="30"/>
    </row>
    <row r="734">
      <c r="A734" s="6">
        <v>734.0</v>
      </c>
      <c r="B734" s="47"/>
      <c r="C734" s="47"/>
      <c r="D734" s="47"/>
      <c r="E734" s="47"/>
      <c r="F734" s="47"/>
      <c r="G734" s="30"/>
      <c r="H734" s="30"/>
    </row>
    <row r="735">
      <c r="A735" s="6">
        <v>735.0</v>
      </c>
      <c r="B735" s="47"/>
      <c r="C735" s="47"/>
      <c r="D735" s="47"/>
      <c r="E735" s="47"/>
      <c r="F735" s="47"/>
      <c r="G735" s="30"/>
      <c r="H735" s="30"/>
    </row>
    <row r="736">
      <c r="A736" s="6">
        <v>736.0</v>
      </c>
      <c r="B736" s="47"/>
      <c r="C736" s="47"/>
      <c r="D736" s="47"/>
      <c r="E736" s="47"/>
      <c r="F736" s="47"/>
      <c r="G736" s="30"/>
      <c r="H736" s="30"/>
    </row>
    <row r="737">
      <c r="A737" s="6">
        <v>737.0</v>
      </c>
      <c r="B737" s="47"/>
      <c r="C737" s="47"/>
      <c r="D737" s="47"/>
      <c r="E737" s="47"/>
      <c r="F737" s="47"/>
      <c r="G737" s="30"/>
      <c r="H737" s="30"/>
    </row>
    <row r="738">
      <c r="A738" s="6">
        <v>738.0</v>
      </c>
      <c r="B738" s="47"/>
      <c r="C738" s="47"/>
      <c r="D738" s="47"/>
      <c r="E738" s="47"/>
      <c r="F738" s="47"/>
      <c r="G738" s="30"/>
      <c r="H738" s="30"/>
    </row>
    <row r="739">
      <c r="A739" s="6">
        <v>739.0</v>
      </c>
      <c r="B739" s="47"/>
      <c r="C739" s="47"/>
      <c r="D739" s="47"/>
      <c r="E739" s="47"/>
      <c r="F739" s="47"/>
      <c r="G739" s="30"/>
      <c r="H739" s="30"/>
    </row>
    <row r="740">
      <c r="A740" s="6">
        <v>740.0</v>
      </c>
      <c r="B740" s="47"/>
      <c r="C740" s="47"/>
      <c r="D740" s="47"/>
      <c r="E740" s="47"/>
      <c r="F740" s="47"/>
      <c r="G740" s="30"/>
      <c r="H740" s="30"/>
    </row>
    <row r="741">
      <c r="A741" s="6">
        <v>741.0</v>
      </c>
      <c r="B741" s="47"/>
      <c r="C741" s="47"/>
      <c r="D741" s="47"/>
      <c r="E741" s="47"/>
      <c r="F741" s="47"/>
      <c r="G741" s="30"/>
      <c r="H741" s="30"/>
    </row>
    <row r="742">
      <c r="A742" s="6">
        <v>742.0</v>
      </c>
      <c r="B742" s="47"/>
      <c r="C742" s="47"/>
      <c r="D742" s="47"/>
      <c r="E742" s="47"/>
      <c r="F742" s="47"/>
      <c r="G742" s="30"/>
      <c r="H742" s="30"/>
    </row>
    <row r="743">
      <c r="A743" s="6">
        <v>743.0</v>
      </c>
      <c r="B743" s="47"/>
      <c r="C743" s="47"/>
      <c r="D743" s="47"/>
      <c r="E743" s="47"/>
      <c r="F743" s="47"/>
      <c r="G743" s="30"/>
      <c r="H743" s="30"/>
    </row>
    <row r="744">
      <c r="A744" s="6">
        <v>744.0</v>
      </c>
      <c r="B744" s="47"/>
      <c r="C744" s="47"/>
      <c r="D744" s="47"/>
      <c r="E744" s="47"/>
      <c r="F744" s="47"/>
      <c r="G744" s="30"/>
      <c r="H744" s="30"/>
    </row>
    <row r="745">
      <c r="A745" s="6">
        <v>745.0</v>
      </c>
      <c r="B745" s="47"/>
      <c r="C745" s="47"/>
      <c r="D745" s="47"/>
      <c r="E745" s="47"/>
      <c r="F745" s="47"/>
      <c r="G745" s="30"/>
      <c r="H745" s="30"/>
    </row>
    <row r="746">
      <c r="A746" s="6">
        <v>746.0</v>
      </c>
      <c r="B746" s="47"/>
      <c r="C746" s="47"/>
      <c r="D746" s="47"/>
      <c r="E746" s="47"/>
      <c r="F746" s="47"/>
      <c r="G746" s="30"/>
      <c r="H746" s="30"/>
    </row>
    <row r="747">
      <c r="A747" s="6">
        <v>747.0</v>
      </c>
      <c r="B747" s="47"/>
      <c r="C747" s="47"/>
      <c r="D747" s="47"/>
      <c r="E747" s="47"/>
      <c r="F747" s="47"/>
      <c r="G747" s="30"/>
      <c r="H747" s="30"/>
    </row>
    <row r="748">
      <c r="A748" s="6">
        <v>748.0</v>
      </c>
      <c r="B748" s="47"/>
      <c r="C748" s="47"/>
      <c r="D748" s="47"/>
      <c r="E748" s="47"/>
      <c r="F748" s="47"/>
      <c r="G748" s="30"/>
      <c r="H748" s="30"/>
    </row>
    <row r="749">
      <c r="A749" s="6">
        <v>749.0</v>
      </c>
      <c r="B749" s="47"/>
      <c r="C749" s="47"/>
      <c r="D749" s="47"/>
      <c r="E749" s="47"/>
      <c r="F749" s="47"/>
      <c r="G749" s="30"/>
      <c r="H749" s="30"/>
    </row>
    <row r="750">
      <c r="A750" s="6">
        <v>750.0</v>
      </c>
      <c r="B750" s="47"/>
      <c r="C750" s="47"/>
      <c r="D750" s="47"/>
      <c r="E750" s="47"/>
      <c r="F750" s="47"/>
      <c r="G750" s="30"/>
      <c r="H750" s="30"/>
    </row>
    <row r="751">
      <c r="A751" s="6">
        <v>751.0</v>
      </c>
      <c r="B751" s="47"/>
      <c r="C751" s="47"/>
      <c r="D751" s="47"/>
      <c r="E751" s="47"/>
      <c r="F751" s="47"/>
      <c r="G751" s="30"/>
      <c r="H751" s="30"/>
    </row>
    <row r="752">
      <c r="A752" s="6">
        <v>752.0</v>
      </c>
      <c r="B752" s="47"/>
      <c r="C752" s="47"/>
      <c r="D752" s="47"/>
      <c r="E752" s="47"/>
      <c r="F752" s="47"/>
      <c r="G752" s="30"/>
      <c r="H752" s="30"/>
    </row>
    <row r="753">
      <c r="A753" s="6">
        <v>753.0</v>
      </c>
      <c r="B753" s="47"/>
      <c r="C753" s="47"/>
      <c r="D753" s="47"/>
      <c r="E753" s="47"/>
      <c r="F753" s="47"/>
      <c r="G753" s="30"/>
      <c r="H753" s="30"/>
    </row>
    <row r="754">
      <c r="A754" s="6">
        <v>754.0</v>
      </c>
      <c r="B754" s="47"/>
      <c r="C754" s="47"/>
      <c r="D754" s="47"/>
      <c r="E754" s="47"/>
      <c r="F754" s="47"/>
      <c r="G754" s="30"/>
      <c r="H754" s="30"/>
    </row>
    <row r="755">
      <c r="A755" s="6">
        <v>755.0</v>
      </c>
      <c r="B755" s="47"/>
      <c r="C755" s="47"/>
      <c r="D755" s="47"/>
      <c r="E755" s="47"/>
      <c r="F755" s="47"/>
      <c r="G755" s="30"/>
      <c r="H755" s="30"/>
    </row>
    <row r="756">
      <c r="A756" s="6">
        <v>756.0</v>
      </c>
      <c r="B756" s="47"/>
      <c r="C756" s="47"/>
      <c r="D756" s="47"/>
      <c r="E756" s="47"/>
      <c r="F756" s="47"/>
      <c r="G756" s="30"/>
      <c r="H756" s="30"/>
    </row>
    <row r="757">
      <c r="A757" s="6">
        <v>757.0</v>
      </c>
      <c r="B757" s="47"/>
      <c r="C757" s="47"/>
      <c r="D757" s="47"/>
      <c r="E757" s="47"/>
      <c r="F757" s="47"/>
      <c r="G757" s="30"/>
      <c r="H757" s="30"/>
    </row>
    <row r="758">
      <c r="A758" s="6">
        <v>758.0</v>
      </c>
      <c r="B758" s="47"/>
      <c r="C758" s="47"/>
      <c r="D758" s="47"/>
      <c r="E758" s="47"/>
      <c r="F758" s="47"/>
      <c r="G758" s="30"/>
      <c r="H758" s="30"/>
    </row>
    <row r="759">
      <c r="A759" s="6">
        <v>759.0</v>
      </c>
      <c r="B759" s="47"/>
      <c r="C759" s="47"/>
      <c r="D759" s="47"/>
      <c r="E759" s="47"/>
      <c r="F759" s="47"/>
      <c r="G759" s="30"/>
      <c r="H759" s="30"/>
    </row>
    <row r="760">
      <c r="A760" s="6">
        <v>760.0</v>
      </c>
      <c r="B760" s="47"/>
      <c r="C760" s="47"/>
      <c r="D760" s="47"/>
      <c r="E760" s="47"/>
      <c r="F760" s="47"/>
      <c r="G760" s="30"/>
      <c r="H760" s="30"/>
    </row>
    <row r="761">
      <c r="A761" s="6">
        <v>761.0</v>
      </c>
      <c r="B761" s="47"/>
      <c r="C761" s="47"/>
      <c r="D761" s="47"/>
      <c r="E761" s="47"/>
      <c r="F761" s="47"/>
      <c r="G761" s="30"/>
      <c r="H761" s="30"/>
    </row>
    <row r="762">
      <c r="A762" s="6">
        <v>762.0</v>
      </c>
      <c r="B762" s="47"/>
      <c r="C762" s="47"/>
      <c r="D762" s="47"/>
      <c r="E762" s="47"/>
      <c r="F762" s="47"/>
      <c r="G762" s="30"/>
      <c r="H762" s="30"/>
    </row>
    <row r="763">
      <c r="A763" s="6">
        <v>763.0</v>
      </c>
      <c r="B763" s="47"/>
      <c r="C763" s="47"/>
      <c r="D763" s="47"/>
      <c r="E763" s="47"/>
      <c r="F763" s="47"/>
      <c r="G763" s="30"/>
      <c r="H763" s="30"/>
    </row>
    <row r="764">
      <c r="A764" s="6">
        <v>764.0</v>
      </c>
      <c r="B764" s="47"/>
      <c r="C764" s="47"/>
      <c r="D764" s="47"/>
      <c r="E764" s="47"/>
      <c r="F764" s="47"/>
      <c r="G764" s="30"/>
      <c r="H764" s="30"/>
    </row>
    <row r="765">
      <c r="A765" s="6">
        <v>765.0</v>
      </c>
      <c r="B765" s="47"/>
      <c r="C765" s="47"/>
      <c r="D765" s="47"/>
      <c r="E765" s="47"/>
      <c r="F765" s="47"/>
      <c r="G765" s="30"/>
      <c r="H765" s="30"/>
    </row>
    <row r="766">
      <c r="A766" s="6">
        <v>766.0</v>
      </c>
      <c r="B766" s="47"/>
      <c r="C766" s="47"/>
      <c r="D766" s="47"/>
      <c r="E766" s="47"/>
      <c r="F766" s="47"/>
      <c r="G766" s="30"/>
      <c r="H766" s="30"/>
    </row>
    <row r="767">
      <c r="A767" s="6">
        <v>767.0</v>
      </c>
      <c r="B767" s="47"/>
      <c r="C767" s="47"/>
      <c r="D767" s="47"/>
      <c r="E767" s="47"/>
      <c r="F767" s="47"/>
      <c r="G767" s="30"/>
      <c r="H767" s="30"/>
    </row>
    <row r="768">
      <c r="A768" s="6">
        <v>768.0</v>
      </c>
      <c r="B768" s="47"/>
      <c r="C768" s="47"/>
      <c r="D768" s="47"/>
      <c r="E768" s="47"/>
      <c r="F768" s="47"/>
      <c r="G768" s="30"/>
      <c r="H768" s="30"/>
    </row>
    <row r="769">
      <c r="A769" s="6">
        <v>769.0</v>
      </c>
      <c r="B769" s="47"/>
      <c r="C769" s="47"/>
      <c r="D769" s="47"/>
      <c r="E769" s="47"/>
      <c r="F769" s="47"/>
      <c r="G769" s="30"/>
      <c r="H769" s="30"/>
    </row>
    <row r="770">
      <c r="A770" s="6">
        <v>770.0</v>
      </c>
      <c r="B770" s="47"/>
      <c r="C770" s="47"/>
      <c r="D770" s="47"/>
      <c r="E770" s="47"/>
      <c r="F770" s="47"/>
      <c r="G770" s="30"/>
      <c r="H770" s="30"/>
    </row>
    <row r="771">
      <c r="A771" s="6">
        <v>771.0</v>
      </c>
      <c r="B771" s="47"/>
      <c r="C771" s="47"/>
      <c r="D771" s="47"/>
      <c r="E771" s="47"/>
      <c r="F771" s="47"/>
      <c r="G771" s="30"/>
      <c r="H771" s="30"/>
    </row>
    <row r="772">
      <c r="A772" s="6">
        <v>772.0</v>
      </c>
      <c r="B772" s="47"/>
      <c r="C772" s="47"/>
      <c r="D772" s="47"/>
      <c r="E772" s="47"/>
      <c r="F772" s="47"/>
      <c r="G772" s="30"/>
      <c r="H772" s="30"/>
    </row>
    <row r="773">
      <c r="A773" s="6">
        <v>773.0</v>
      </c>
      <c r="B773" s="47"/>
      <c r="C773" s="47"/>
      <c r="D773" s="47"/>
      <c r="E773" s="47"/>
      <c r="F773" s="47"/>
      <c r="G773" s="30"/>
      <c r="H773" s="30"/>
    </row>
    <row r="774">
      <c r="A774" s="6">
        <v>774.0</v>
      </c>
      <c r="B774" s="47"/>
      <c r="C774" s="47"/>
      <c r="D774" s="47"/>
      <c r="E774" s="47"/>
      <c r="F774" s="47"/>
      <c r="G774" s="30"/>
      <c r="H774" s="30"/>
    </row>
    <row r="775">
      <c r="A775" s="6">
        <v>775.0</v>
      </c>
      <c r="B775" s="47"/>
      <c r="C775" s="47"/>
      <c r="D775" s="47"/>
      <c r="E775" s="47"/>
      <c r="F775" s="47"/>
      <c r="G775" s="30"/>
      <c r="H775" s="30"/>
    </row>
    <row r="776">
      <c r="A776" s="6">
        <v>776.0</v>
      </c>
      <c r="B776" s="47"/>
      <c r="C776" s="47"/>
      <c r="D776" s="47"/>
      <c r="E776" s="47"/>
      <c r="F776" s="47"/>
      <c r="G776" s="30"/>
      <c r="H776" s="30"/>
    </row>
    <row r="777">
      <c r="A777" s="6">
        <v>777.0</v>
      </c>
      <c r="B777" s="47"/>
      <c r="C777" s="47"/>
      <c r="D777" s="47"/>
      <c r="E777" s="47"/>
      <c r="F777" s="47"/>
      <c r="G777" s="30"/>
      <c r="H777" s="30"/>
    </row>
    <row r="778">
      <c r="A778" s="6">
        <v>778.0</v>
      </c>
      <c r="B778" s="47"/>
      <c r="C778" s="47"/>
      <c r="D778" s="47"/>
      <c r="E778" s="47"/>
      <c r="F778" s="47"/>
      <c r="G778" s="30"/>
      <c r="H778" s="30"/>
    </row>
    <row r="779">
      <c r="A779" s="6">
        <v>779.0</v>
      </c>
      <c r="B779" s="47"/>
      <c r="C779" s="47"/>
      <c r="D779" s="47"/>
      <c r="E779" s="47"/>
      <c r="F779" s="47"/>
      <c r="G779" s="30"/>
      <c r="H779" s="30"/>
    </row>
    <row r="780">
      <c r="A780" s="6">
        <v>780.0</v>
      </c>
      <c r="B780" s="47"/>
      <c r="C780" s="47"/>
      <c r="D780" s="47"/>
      <c r="E780" s="47"/>
      <c r="F780" s="47"/>
      <c r="G780" s="30"/>
      <c r="H780" s="30"/>
    </row>
    <row r="781">
      <c r="A781" s="6">
        <v>781.0</v>
      </c>
      <c r="B781" s="47"/>
      <c r="C781" s="47"/>
      <c r="D781" s="47"/>
      <c r="E781" s="47"/>
      <c r="F781" s="47"/>
      <c r="G781" s="30"/>
      <c r="H781" s="30"/>
    </row>
    <row r="782">
      <c r="A782" s="6">
        <v>782.0</v>
      </c>
      <c r="B782" s="47"/>
      <c r="C782" s="47"/>
      <c r="D782" s="47"/>
      <c r="E782" s="47"/>
      <c r="F782" s="47"/>
      <c r="G782" s="30"/>
      <c r="H782" s="30"/>
    </row>
    <row r="783">
      <c r="A783" s="6">
        <v>783.0</v>
      </c>
      <c r="B783" s="47"/>
      <c r="C783" s="47"/>
      <c r="D783" s="47"/>
      <c r="E783" s="47"/>
      <c r="F783" s="47"/>
      <c r="G783" s="30"/>
      <c r="H783" s="30"/>
    </row>
    <row r="784">
      <c r="A784" s="6">
        <v>784.0</v>
      </c>
      <c r="B784" s="47"/>
      <c r="C784" s="47"/>
      <c r="D784" s="47"/>
      <c r="E784" s="47"/>
      <c r="F784" s="47"/>
      <c r="G784" s="30"/>
      <c r="H784" s="30"/>
    </row>
    <row r="785">
      <c r="A785" s="6">
        <v>785.0</v>
      </c>
      <c r="B785" s="47"/>
      <c r="C785" s="47"/>
      <c r="D785" s="47"/>
      <c r="E785" s="47"/>
      <c r="F785" s="47"/>
      <c r="G785" s="30"/>
      <c r="H785" s="30"/>
    </row>
    <row r="786">
      <c r="A786" s="6">
        <v>786.0</v>
      </c>
      <c r="B786" s="47"/>
      <c r="C786" s="47"/>
      <c r="D786" s="47"/>
      <c r="E786" s="47"/>
      <c r="F786" s="47"/>
      <c r="G786" s="30"/>
      <c r="H786" s="30"/>
    </row>
    <row r="787">
      <c r="A787" s="6">
        <v>787.0</v>
      </c>
      <c r="B787" s="47"/>
      <c r="C787" s="47"/>
      <c r="D787" s="47"/>
      <c r="E787" s="47"/>
      <c r="F787" s="47"/>
      <c r="G787" s="30"/>
      <c r="H787" s="30"/>
    </row>
    <row r="788">
      <c r="A788" s="6">
        <v>788.0</v>
      </c>
      <c r="B788" s="47"/>
      <c r="C788" s="47"/>
      <c r="D788" s="47"/>
      <c r="E788" s="47"/>
      <c r="F788" s="47"/>
      <c r="G788" s="30"/>
      <c r="H788" s="30"/>
    </row>
    <row r="789">
      <c r="A789" s="6">
        <v>789.0</v>
      </c>
      <c r="B789" s="47"/>
      <c r="C789" s="47"/>
      <c r="D789" s="47"/>
      <c r="E789" s="47"/>
      <c r="F789" s="47"/>
      <c r="G789" s="30"/>
      <c r="H789" s="30"/>
    </row>
    <row r="790">
      <c r="A790" s="6">
        <v>790.0</v>
      </c>
      <c r="B790" s="47"/>
      <c r="C790" s="47"/>
      <c r="D790" s="47"/>
      <c r="E790" s="47"/>
      <c r="F790" s="47"/>
      <c r="G790" s="30"/>
      <c r="H790" s="30"/>
    </row>
    <row r="791">
      <c r="A791" s="6">
        <v>791.0</v>
      </c>
      <c r="B791" s="47"/>
      <c r="C791" s="47"/>
      <c r="D791" s="47"/>
      <c r="E791" s="47"/>
      <c r="F791" s="47"/>
      <c r="G791" s="30"/>
      <c r="H791" s="30"/>
    </row>
    <row r="792">
      <c r="A792" s="6">
        <v>792.0</v>
      </c>
      <c r="B792" s="47"/>
      <c r="C792" s="47"/>
      <c r="D792" s="47"/>
      <c r="E792" s="47"/>
      <c r="F792" s="47"/>
      <c r="G792" s="30"/>
      <c r="H792" s="30"/>
    </row>
    <row r="793">
      <c r="A793" s="6">
        <v>793.0</v>
      </c>
      <c r="B793" s="47"/>
      <c r="C793" s="47"/>
      <c r="D793" s="47"/>
      <c r="E793" s="47"/>
      <c r="F793" s="47"/>
      <c r="G793" s="30"/>
      <c r="H793" s="30"/>
    </row>
    <row r="794">
      <c r="A794" s="6">
        <v>794.0</v>
      </c>
      <c r="B794" s="47"/>
      <c r="C794" s="47"/>
      <c r="D794" s="47"/>
      <c r="E794" s="47"/>
      <c r="F794" s="47"/>
      <c r="G794" s="30"/>
      <c r="H794" s="30"/>
    </row>
    <row r="795">
      <c r="A795" s="6">
        <v>795.0</v>
      </c>
      <c r="B795" s="47"/>
      <c r="C795" s="47"/>
      <c r="D795" s="47"/>
      <c r="E795" s="47"/>
      <c r="F795" s="47"/>
      <c r="G795" s="30"/>
      <c r="H795" s="30"/>
    </row>
    <row r="796">
      <c r="A796" s="6">
        <v>796.0</v>
      </c>
      <c r="B796" s="47"/>
      <c r="C796" s="47"/>
      <c r="D796" s="47"/>
      <c r="E796" s="47"/>
      <c r="F796" s="47"/>
      <c r="G796" s="30"/>
      <c r="H796" s="30"/>
    </row>
    <row r="797">
      <c r="A797" s="6">
        <v>797.0</v>
      </c>
      <c r="B797" s="47"/>
      <c r="C797" s="47"/>
      <c r="D797" s="47"/>
      <c r="E797" s="47"/>
      <c r="F797" s="47"/>
      <c r="G797" s="30"/>
      <c r="H797" s="30"/>
    </row>
    <row r="798">
      <c r="A798" s="6">
        <v>798.0</v>
      </c>
      <c r="B798" s="47"/>
      <c r="C798" s="47"/>
      <c r="D798" s="47"/>
      <c r="E798" s="47"/>
      <c r="F798" s="47"/>
      <c r="G798" s="30"/>
      <c r="H798" s="30"/>
    </row>
    <row r="799">
      <c r="A799" s="6">
        <v>799.0</v>
      </c>
      <c r="B799" s="47"/>
      <c r="C799" s="47"/>
      <c r="D799" s="47"/>
      <c r="E799" s="47"/>
      <c r="F799" s="47"/>
      <c r="G799" s="30"/>
      <c r="H799" s="30"/>
    </row>
    <row r="800">
      <c r="A800" s="6">
        <v>800.0</v>
      </c>
      <c r="B800" s="47"/>
      <c r="C800" s="47"/>
      <c r="D800" s="47"/>
      <c r="E800" s="47"/>
      <c r="F800" s="47"/>
      <c r="G800" s="30"/>
      <c r="H800" s="30"/>
    </row>
    <row r="801">
      <c r="A801" s="6">
        <v>801.0</v>
      </c>
      <c r="B801" s="47"/>
      <c r="C801" s="47"/>
      <c r="D801" s="47"/>
      <c r="E801" s="47"/>
      <c r="F801" s="47"/>
      <c r="G801" s="30"/>
      <c r="H801" s="30"/>
    </row>
    <row r="802">
      <c r="A802" s="6">
        <v>802.0</v>
      </c>
      <c r="B802" s="47"/>
      <c r="C802" s="47"/>
      <c r="D802" s="47"/>
      <c r="E802" s="47"/>
      <c r="F802" s="47"/>
      <c r="G802" s="30"/>
      <c r="H802" s="30"/>
    </row>
    <row r="803">
      <c r="A803" s="6">
        <v>803.0</v>
      </c>
      <c r="B803" s="47"/>
      <c r="C803" s="47"/>
      <c r="D803" s="47"/>
      <c r="E803" s="47"/>
      <c r="F803" s="47"/>
      <c r="G803" s="30"/>
      <c r="H803" s="30"/>
    </row>
    <row r="804">
      <c r="A804" s="6">
        <v>804.0</v>
      </c>
      <c r="B804" s="47"/>
      <c r="C804" s="47"/>
      <c r="D804" s="47"/>
      <c r="E804" s="47"/>
      <c r="F804" s="47"/>
      <c r="G804" s="30"/>
      <c r="H804" s="30"/>
    </row>
    <row r="805">
      <c r="A805" s="6">
        <v>805.0</v>
      </c>
      <c r="B805" s="47"/>
      <c r="C805" s="47"/>
      <c r="D805" s="47"/>
      <c r="E805" s="47"/>
      <c r="F805" s="47"/>
      <c r="G805" s="30"/>
      <c r="H805" s="30"/>
    </row>
    <row r="806">
      <c r="A806" s="6">
        <v>806.0</v>
      </c>
      <c r="B806" s="47"/>
      <c r="C806" s="47"/>
      <c r="D806" s="47"/>
      <c r="E806" s="47"/>
      <c r="F806" s="47"/>
      <c r="G806" s="30"/>
      <c r="H806" s="30"/>
    </row>
    <row r="807">
      <c r="A807" s="6">
        <v>807.0</v>
      </c>
      <c r="B807" s="47"/>
      <c r="C807" s="47"/>
      <c r="D807" s="47"/>
      <c r="E807" s="47"/>
      <c r="F807" s="47"/>
      <c r="G807" s="30"/>
      <c r="H807" s="30"/>
    </row>
    <row r="808">
      <c r="A808" s="6">
        <v>808.0</v>
      </c>
      <c r="B808" s="47"/>
      <c r="C808" s="47"/>
      <c r="D808" s="47"/>
      <c r="E808" s="47"/>
      <c r="F808" s="47"/>
      <c r="G808" s="30"/>
      <c r="H808" s="30"/>
    </row>
    <row r="809">
      <c r="A809" s="6">
        <v>809.0</v>
      </c>
      <c r="B809" s="47"/>
      <c r="C809" s="47"/>
      <c r="D809" s="47"/>
      <c r="E809" s="47"/>
      <c r="F809" s="47"/>
      <c r="G809" s="30"/>
      <c r="H809" s="30"/>
    </row>
    <row r="810">
      <c r="A810" s="6">
        <v>810.0</v>
      </c>
      <c r="B810" s="47"/>
      <c r="C810" s="47"/>
      <c r="D810" s="47"/>
      <c r="E810" s="47"/>
      <c r="F810" s="47"/>
      <c r="G810" s="30"/>
      <c r="H810" s="30"/>
    </row>
    <row r="811">
      <c r="A811" s="6">
        <v>811.0</v>
      </c>
      <c r="B811" s="47"/>
      <c r="C811" s="47"/>
      <c r="D811" s="47"/>
      <c r="E811" s="47"/>
      <c r="F811" s="47"/>
      <c r="G811" s="30"/>
      <c r="H811" s="30"/>
    </row>
    <row r="812">
      <c r="A812" s="6">
        <v>812.0</v>
      </c>
      <c r="B812" s="47"/>
      <c r="C812" s="47"/>
      <c r="D812" s="47"/>
      <c r="E812" s="47"/>
      <c r="F812" s="47"/>
      <c r="G812" s="30"/>
      <c r="H812" s="30"/>
    </row>
    <row r="813">
      <c r="A813" s="6">
        <v>813.0</v>
      </c>
      <c r="B813" s="47"/>
      <c r="C813" s="47"/>
      <c r="D813" s="47"/>
      <c r="E813" s="47"/>
      <c r="F813" s="47"/>
      <c r="G813" s="30"/>
      <c r="H813" s="30"/>
    </row>
    <row r="814">
      <c r="A814" s="6">
        <v>814.0</v>
      </c>
      <c r="B814" s="47"/>
      <c r="C814" s="47"/>
      <c r="D814" s="47"/>
      <c r="E814" s="47"/>
      <c r="F814" s="47"/>
      <c r="G814" s="30"/>
      <c r="H814" s="30"/>
    </row>
    <row r="815">
      <c r="A815" s="6">
        <v>815.0</v>
      </c>
      <c r="B815" s="47"/>
      <c r="C815" s="47"/>
      <c r="D815" s="47"/>
      <c r="E815" s="47"/>
      <c r="F815" s="47"/>
      <c r="G815" s="30"/>
      <c r="H815" s="30"/>
    </row>
    <row r="816">
      <c r="A816" s="6">
        <v>816.0</v>
      </c>
      <c r="B816" s="47"/>
      <c r="C816" s="47"/>
      <c r="D816" s="47"/>
      <c r="E816" s="47"/>
      <c r="F816" s="47"/>
      <c r="G816" s="30"/>
      <c r="H816" s="30"/>
    </row>
    <row r="817">
      <c r="A817" s="6">
        <v>817.0</v>
      </c>
      <c r="B817" s="47"/>
      <c r="C817" s="47"/>
      <c r="D817" s="47"/>
      <c r="E817" s="47"/>
      <c r="F817" s="47"/>
      <c r="G817" s="30"/>
      <c r="H817" s="30"/>
    </row>
    <row r="818">
      <c r="A818" s="6">
        <v>818.0</v>
      </c>
      <c r="B818" s="47"/>
      <c r="C818" s="47"/>
      <c r="D818" s="47"/>
      <c r="E818" s="47"/>
      <c r="F818" s="47"/>
      <c r="G818" s="30"/>
      <c r="H818" s="30"/>
    </row>
    <row r="819">
      <c r="A819" s="6">
        <v>819.0</v>
      </c>
      <c r="B819" s="47"/>
      <c r="C819" s="47"/>
      <c r="D819" s="47"/>
      <c r="E819" s="47"/>
      <c r="F819" s="47"/>
      <c r="G819" s="30"/>
      <c r="H819" s="30"/>
    </row>
    <row r="820">
      <c r="A820" s="6">
        <v>820.0</v>
      </c>
      <c r="B820" s="47"/>
      <c r="C820" s="47"/>
      <c r="D820" s="47"/>
      <c r="E820" s="47"/>
      <c r="F820" s="47"/>
      <c r="G820" s="30"/>
      <c r="H820" s="30"/>
    </row>
    <row r="821">
      <c r="A821" s="6">
        <v>821.0</v>
      </c>
      <c r="B821" s="47"/>
      <c r="C821" s="47"/>
      <c r="D821" s="47"/>
      <c r="E821" s="47"/>
      <c r="F821" s="47"/>
      <c r="G821" s="30"/>
      <c r="H821" s="30"/>
    </row>
    <row r="822">
      <c r="A822" s="6">
        <v>822.0</v>
      </c>
      <c r="B822" s="47"/>
      <c r="C822" s="47"/>
      <c r="D822" s="47"/>
      <c r="E822" s="47"/>
      <c r="F822" s="47"/>
      <c r="G822" s="30"/>
      <c r="H822" s="30"/>
    </row>
    <row r="823">
      <c r="A823" s="6">
        <v>823.0</v>
      </c>
      <c r="B823" s="47"/>
      <c r="C823" s="47"/>
      <c r="D823" s="47"/>
      <c r="E823" s="47"/>
      <c r="F823" s="47"/>
      <c r="G823" s="30"/>
      <c r="H823" s="30"/>
    </row>
    <row r="824">
      <c r="A824" s="6">
        <v>824.0</v>
      </c>
      <c r="B824" s="47"/>
      <c r="C824" s="47"/>
      <c r="D824" s="47"/>
      <c r="E824" s="47"/>
      <c r="F824" s="47"/>
      <c r="G824" s="30"/>
      <c r="H824" s="30"/>
    </row>
    <row r="825">
      <c r="A825" s="6">
        <v>825.0</v>
      </c>
      <c r="B825" s="47"/>
      <c r="C825" s="47"/>
      <c r="D825" s="47"/>
      <c r="E825" s="47"/>
      <c r="F825" s="47"/>
      <c r="G825" s="30"/>
      <c r="H825" s="30"/>
    </row>
    <row r="826">
      <c r="A826" s="6">
        <v>826.0</v>
      </c>
      <c r="B826" s="47"/>
      <c r="C826" s="47"/>
      <c r="D826" s="47"/>
      <c r="E826" s="47"/>
      <c r="F826" s="47"/>
      <c r="G826" s="30"/>
      <c r="H826" s="30"/>
    </row>
    <row r="827">
      <c r="A827" s="6">
        <v>827.0</v>
      </c>
      <c r="B827" s="47"/>
      <c r="C827" s="47"/>
      <c r="D827" s="47"/>
      <c r="E827" s="47"/>
      <c r="F827" s="47"/>
      <c r="G827" s="30"/>
      <c r="H827" s="30"/>
    </row>
    <row r="828">
      <c r="A828" s="6">
        <v>828.0</v>
      </c>
      <c r="B828" s="47"/>
      <c r="C828" s="47"/>
      <c r="D828" s="47"/>
      <c r="E828" s="47"/>
      <c r="F828" s="47"/>
      <c r="G828" s="30"/>
      <c r="H828" s="30"/>
    </row>
    <row r="829">
      <c r="A829" s="6">
        <v>829.0</v>
      </c>
      <c r="B829" s="47"/>
      <c r="C829" s="47"/>
      <c r="D829" s="47"/>
      <c r="E829" s="47"/>
      <c r="F829" s="47"/>
      <c r="G829" s="30"/>
      <c r="H829" s="30"/>
    </row>
    <row r="830">
      <c r="A830" s="6">
        <v>830.0</v>
      </c>
      <c r="B830" s="47"/>
      <c r="C830" s="47"/>
      <c r="D830" s="47"/>
      <c r="E830" s="47"/>
      <c r="F830" s="47"/>
      <c r="G830" s="30"/>
      <c r="H830" s="30"/>
    </row>
    <row r="831">
      <c r="A831" s="6">
        <v>831.0</v>
      </c>
      <c r="B831" s="47"/>
      <c r="C831" s="47"/>
      <c r="D831" s="47"/>
      <c r="E831" s="47"/>
      <c r="F831" s="47"/>
      <c r="G831" s="30"/>
      <c r="H831" s="30"/>
    </row>
    <row r="832">
      <c r="A832" s="6">
        <v>832.0</v>
      </c>
      <c r="B832" s="47"/>
      <c r="C832" s="47"/>
      <c r="D832" s="47"/>
      <c r="E832" s="47"/>
      <c r="F832" s="47"/>
      <c r="G832" s="30"/>
      <c r="H832" s="30"/>
    </row>
    <row r="833">
      <c r="A833" s="6">
        <v>833.0</v>
      </c>
      <c r="B833" s="47"/>
      <c r="C833" s="47"/>
      <c r="D833" s="47"/>
      <c r="E833" s="47"/>
      <c r="F833" s="47"/>
      <c r="G833" s="30"/>
      <c r="H833" s="30"/>
    </row>
    <row r="834">
      <c r="A834" s="6">
        <v>834.0</v>
      </c>
      <c r="B834" s="47"/>
      <c r="C834" s="47"/>
      <c r="D834" s="47"/>
      <c r="E834" s="47"/>
      <c r="F834" s="47"/>
      <c r="G834" s="30"/>
      <c r="H834" s="30"/>
    </row>
    <row r="835">
      <c r="A835" s="6">
        <v>835.0</v>
      </c>
      <c r="B835" s="47"/>
      <c r="C835" s="47"/>
      <c r="D835" s="47"/>
      <c r="E835" s="47"/>
      <c r="F835" s="47"/>
      <c r="G835" s="30"/>
      <c r="H835" s="30"/>
    </row>
    <row r="836">
      <c r="A836" s="6">
        <v>836.0</v>
      </c>
      <c r="B836" s="47"/>
      <c r="C836" s="47"/>
      <c r="D836" s="47"/>
      <c r="E836" s="47"/>
      <c r="F836" s="47"/>
      <c r="G836" s="30"/>
      <c r="H836" s="30"/>
    </row>
    <row r="837">
      <c r="A837" s="6">
        <v>837.0</v>
      </c>
      <c r="B837" s="47"/>
      <c r="C837" s="47"/>
      <c r="D837" s="47"/>
      <c r="E837" s="47"/>
      <c r="F837" s="47"/>
      <c r="G837" s="30"/>
      <c r="H837" s="30"/>
    </row>
    <row r="838">
      <c r="A838" s="6">
        <v>838.0</v>
      </c>
      <c r="B838" s="47"/>
      <c r="C838" s="47"/>
      <c r="D838" s="47"/>
      <c r="E838" s="47"/>
      <c r="F838" s="47"/>
      <c r="G838" s="30"/>
      <c r="H838" s="30"/>
    </row>
    <row r="839">
      <c r="A839" s="6">
        <v>839.0</v>
      </c>
      <c r="B839" s="47"/>
      <c r="C839" s="47"/>
      <c r="D839" s="47"/>
      <c r="E839" s="47"/>
      <c r="F839" s="47"/>
      <c r="G839" s="30"/>
      <c r="H839" s="30"/>
    </row>
    <row r="840">
      <c r="A840" s="6">
        <v>840.0</v>
      </c>
      <c r="B840" s="47"/>
      <c r="C840" s="47"/>
      <c r="D840" s="47"/>
      <c r="E840" s="47"/>
      <c r="F840" s="47"/>
      <c r="G840" s="30"/>
      <c r="H840" s="30"/>
    </row>
    <row r="841">
      <c r="A841" s="6">
        <v>841.0</v>
      </c>
      <c r="B841" s="47"/>
      <c r="C841" s="47"/>
      <c r="D841" s="47"/>
      <c r="E841" s="47"/>
      <c r="F841" s="47"/>
      <c r="G841" s="30"/>
      <c r="H841" s="30"/>
    </row>
    <row r="842">
      <c r="A842" s="6">
        <v>842.0</v>
      </c>
      <c r="B842" s="47"/>
      <c r="C842" s="47"/>
      <c r="D842" s="47"/>
      <c r="E842" s="47"/>
      <c r="F842" s="47"/>
      <c r="G842" s="30"/>
      <c r="H842" s="30"/>
    </row>
    <row r="843">
      <c r="A843" s="6">
        <v>843.0</v>
      </c>
      <c r="B843" s="47"/>
      <c r="C843" s="47"/>
      <c r="D843" s="47"/>
      <c r="E843" s="47"/>
      <c r="F843" s="47"/>
      <c r="G843" s="30"/>
      <c r="H843" s="30"/>
    </row>
    <row r="844">
      <c r="A844" s="6">
        <v>844.0</v>
      </c>
      <c r="B844" s="47"/>
      <c r="C844" s="47"/>
      <c r="D844" s="47"/>
      <c r="E844" s="47"/>
      <c r="F844" s="47"/>
      <c r="G844" s="30"/>
      <c r="H844" s="30"/>
    </row>
    <row r="845">
      <c r="A845" s="6">
        <v>845.0</v>
      </c>
      <c r="B845" s="47"/>
      <c r="C845" s="47"/>
      <c r="D845" s="47"/>
      <c r="E845" s="47"/>
      <c r="F845" s="47"/>
      <c r="G845" s="30"/>
      <c r="H845" s="30"/>
    </row>
    <row r="846">
      <c r="A846" s="6">
        <v>846.0</v>
      </c>
      <c r="B846" s="47"/>
      <c r="C846" s="47"/>
      <c r="D846" s="47"/>
      <c r="E846" s="47"/>
      <c r="F846" s="47"/>
      <c r="G846" s="30"/>
      <c r="H846" s="30"/>
    </row>
    <row r="847">
      <c r="A847" s="6">
        <v>847.0</v>
      </c>
      <c r="B847" s="47"/>
      <c r="C847" s="47"/>
      <c r="D847" s="47"/>
      <c r="E847" s="47"/>
      <c r="F847" s="47"/>
      <c r="G847" s="30"/>
      <c r="H847" s="30"/>
    </row>
    <row r="848">
      <c r="A848" s="6">
        <v>848.0</v>
      </c>
      <c r="B848" s="47"/>
      <c r="C848" s="47"/>
      <c r="D848" s="47"/>
      <c r="E848" s="47"/>
      <c r="F848" s="47"/>
      <c r="G848" s="30"/>
      <c r="H848" s="30"/>
    </row>
    <row r="849">
      <c r="A849" s="6">
        <v>849.0</v>
      </c>
      <c r="B849" s="47"/>
      <c r="C849" s="47"/>
      <c r="D849" s="47"/>
      <c r="E849" s="47"/>
      <c r="F849" s="47"/>
      <c r="G849" s="30"/>
      <c r="H849" s="30"/>
    </row>
    <row r="850">
      <c r="A850" s="6">
        <v>850.0</v>
      </c>
      <c r="B850" s="47"/>
      <c r="C850" s="47"/>
      <c r="D850" s="47"/>
      <c r="E850" s="47"/>
      <c r="F850" s="47"/>
      <c r="G850" s="30"/>
      <c r="H850" s="30"/>
    </row>
    <row r="851">
      <c r="A851" s="6">
        <v>851.0</v>
      </c>
      <c r="B851" s="47"/>
      <c r="C851" s="47"/>
      <c r="D851" s="47"/>
      <c r="E851" s="47"/>
      <c r="F851" s="47"/>
      <c r="G851" s="30"/>
      <c r="H851" s="30"/>
    </row>
    <row r="852">
      <c r="A852" s="6">
        <v>852.0</v>
      </c>
      <c r="B852" s="47"/>
      <c r="C852" s="47"/>
      <c r="D852" s="47"/>
      <c r="E852" s="47"/>
      <c r="F852" s="47"/>
      <c r="G852" s="30"/>
      <c r="H852" s="30"/>
    </row>
    <row r="853">
      <c r="A853" s="6">
        <v>853.0</v>
      </c>
      <c r="B853" s="47"/>
      <c r="C853" s="47"/>
      <c r="D853" s="47"/>
      <c r="E853" s="47"/>
      <c r="F853" s="47"/>
      <c r="G853" s="30"/>
      <c r="H853" s="30"/>
    </row>
    <row r="854">
      <c r="A854" s="6">
        <v>854.0</v>
      </c>
      <c r="B854" s="47"/>
      <c r="C854" s="47"/>
      <c r="D854" s="47"/>
      <c r="E854" s="47"/>
      <c r="F854" s="47"/>
      <c r="G854" s="30"/>
      <c r="H854" s="30"/>
    </row>
    <row r="855">
      <c r="A855" s="6">
        <v>855.0</v>
      </c>
      <c r="B855" s="47"/>
      <c r="C855" s="47"/>
      <c r="D855" s="47"/>
      <c r="E855" s="47"/>
      <c r="F855" s="47"/>
      <c r="G855" s="30"/>
      <c r="H855" s="30"/>
    </row>
    <row r="856">
      <c r="A856" s="6">
        <v>856.0</v>
      </c>
      <c r="B856" s="47"/>
      <c r="C856" s="47"/>
      <c r="D856" s="47"/>
      <c r="E856" s="47"/>
      <c r="F856" s="47"/>
      <c r="G856" s="30"/>
      <c r="H856" s="30"/>
    </row>
    <row r="857">
      <c r="A857" s="6">
        <v>857.0</v>
      </c>
      <c r="B857" s="47"/>
      <c r="C857" s="47"/>
      <c r="D857" s="47"/>
      <c r="E857" s="47"/>
      <c r="F857" s="47"/>
      <c r="G857" s="30"/>
      <c r="H857" s="30"/>
    </row>
    <row r="858">
      <c r="A858" s="6">
        <v>858.0</v>
      </c>
      <c r="B858" s="47"/>
      <c r="C858" s="47"/>
      <c r="D858" s="47"/>
      <c r="E858" s="47"/>
      <c r="F858" s="47"/>
      <c r="G858" s="30"/>
      <c r="H858" s="30"/>
    </row>
    <row r="859">
      <c r="A859" s="6">
        <v>859.0</v>
      </c>
      <c r="B859" s="47"/>
      <c r="C859" s="47"/>
      <c r="D859" s="47"/>
      <c r="E859" s="47"/>
      <c r="F859" s="47"/>
      <c r="G859" s="30"/>
      <c r="H859" s="30"/>
    </row>
    <row r="860">
      <c r="A860" s="6">
        <v>860.0</v>
      </c>
      <c r="B860" s="47"/>
      <c r="C860" s="47"/>
      <c r="D860" s="47"/>
      <c r="E860" s="47"/>
      <c r="F860" s="47"/>
      <c r="G860" s="30"/>
      <c r="H860" s="30"/>
    </row>
    <row r="861">
      <c r="A861" s="6">
        <v>861.0</v>
      </c>
      <c r="B861" s="47"/>
      <c r="C861" s="47"/>
      <c r="D861" s="47"/>
      <c r="E861" s="47"/>
      <c r="F861" s="47"/>
      <c r="G861" s="30"/>
      <c r="H861" s="30"/>
    </row>
    <row r="862">
      <c r="A862" s="6">
        <v>862.0</v>
      </c>
      <c r="B862" s="47"/>
      <c r="C862" s="47"/>
      <c r="D862" s="47"/>
      <c r="E862" s="47"/>
      <c r="F862" s="47"/>
      <c r="G862" s="30"/>
      <c r="H862" s="30"/>
    </row>
    <row r="863">
      <c r="A863" s="6">
        <v>863.0</v>
      </c>
      <c r="B863" s="47"/>
      <c r="C863" s="47"/>
      <c r="D863" s="47"/>
      <c r="E863" s="47"/>
      <c r="F863" s="47"/>
      <c r="G863" s="30"/>
      <c r="H863" s="30"/>
    </row>
    <row r="864">
      <c r="A864" s="6">
        <v>864.0</v>
      </c>
      <c r="B864" s="47"/>
      <c r="C864" s="47"/>
      <c r="D864" s="47"/>
      <c r="E864" s="47"/>
      <c r="F864" s="47"/>
      <c r="G864" s="30"/>
      <c r="H864" s="30"/>
    </row>
    <row r="865">
      <c r="A865" s="6">
        <v>865.0</v>
      </c>
      <c r="B865" s="47"/>
      <c r="C865" s="47"/>
      <c r="D865" s="47"/>
      <c r="E865" s="47"/>
      <c r="F865" s="47"/>
      <c r="G865" s="30"/>
      <c r="H865" s="30"/>
    </row>
    <row r="866">
      <c r="A866" s="6">
        <v>866.0</v>
      </c>
      <c r="B866" s="47"/>
      <c r="C866" s="47"/>
      <c r="D866" s="47"/>
      <c r="E866" s="47"/>
      <c r="F866" s="47"/>
      <c r="G866" s="30"/>
      <c r="H866" s="30"/>
    </row>
    <row r="867">
      <c r="A867" s="6">
        <v>867.0</v>
      </c>
      <c r="B867" s="47"/>
      <c r="C867" s="47"/>
      <c r="D867" s="47"/>
      <c r="E867" s="47"/>
      <c r="F867" s="47"/>
      <c r="G867" s="30"/>
      <c r="H867" s="30"/>
    </row>
    <row r="868">
      <c r="A868" s="6">
        <v>868.0</v>
      </c>
      <c r="B868" s="47"/>
      <c r="C868" s="47"/>
      <c r="D868" s="47"/>
      <c r="E868" s="47"/>
      <c r="F868" s="47"/>
      <c r="G868" s="30"/>
      <c r="H868" s="30"/>
    </row>
    <row r="869">
      <c r="A869" s="6">
        <v>869.0</v>
      </c>
      <c r="B869" s="47"/>
      <c r="C869" s="47"/>
      <c r="D869" s="47"/>
      <c r="E869" s="47"/>
      <c r="F869" s="47"/>
      <c r="G869" s="30"/>
      <c r="H869" s="30"/>
    </row>
    <row r="870">
      <c r="A870" s="6">
        <v>870.0</v>
      </c>
      <c r="B870" s="47"/>
      <c r="C870" s="47"/>
      <c r="D870" s="47"/>
      <c r="E870" s="47"/>
      <c r="F870" s="47"/>
      <c r="G870" s="30"/>
      <c r="H870" s="30"/>
    </row>
    <row r="871">
      <c r="A871" s="6">
        <v>871.0</v>
      </c>
      <c r="B871" s="47"/>
      <c r="C871" s="47"/>
      <c r="D871" s="47"/>
      <c r="E871" s="47"/>
      <c r="F871" s="47"/>
      <c r="G871" s="30"/>
      <c r="H871" s="30"/>
    </row>
    <row r="872">
      <c r="A872" s="6">
        <v>872.0</v>
      </c>
      <c r="B872" s="47"/>
      <c r="C872" s="47"/>
      <c r="D872" s="47"/>
      <c r="E872" s="47"/>
      <c r="F872" s="47"/>
      <c r="G872" s="30"/>
      <c r="H872" s="30"/>
    </row>
    <row r="873">
      <c r="A873" s="6">
        <v>873.0</v>
      </c>
      <c r="B873" s="47"/>
      <c r="C873" s="47"/>
      <c r="D873" s="47"/>
      <c r="E873" s="47"/>
      <c r="F873" s="47"/>
      <c r="G873" s="30"/>
      <c r="H873" s="30"/>
    </row>
    <row r="874">
      <c r="A874" s="6">
        <v>874.0</v>
      </c>
      <c r="B874" s="47"/>
      <c r="C874" s="47"/>
      <c r="D874" s="47"/>
      <c r="E874" s="47"/>
      <c r="F874" s="47"/>
      <c r="G874" s="30"/>
      <c r="H874" s="30"/>
    </row>
    <row r="875">
      <c r="A875" s="6">
        <v>875.0</v>
      </c>
      <c r="B875" s="47"/>
      <c r="C875" s="47"/>
      <c r="D875" s="47"/>
      <c r="E875" s="47"/>
      <c r="F875" s="47"/>
      <c r="G875" s="30"/>
      <c r="H875" s="30"/>
    </row>
    <row r="876">
      <c r="A876" s="6">
        <v>876.0</v>
      </c>
      <c r="B876" s="47"/>
      <c r="C876" s="47"/>
      <c r="D876" s="47"/>
      <c r="E876" s="47"/>
      <c r="F876" s="47"/>
      <c r="G876" s="30"/>
      <c r="H876" s="30"/>
    </row>
    <row r="877">
      <c r="A877" s="6">
        <v>877.0</v>
      </c>
      <c r="B877" s="47"/>
      <c r="C877" s="47"/>
      <c r="D877" s="47"/>
      <c r="E877" s="47"/>
      <c r="F877" s="47"/>
      <c r="G877" s="30"/>
      <c r="H877" s="30"/>
    </row>
    <row r="878">
      <c r="A878" s="6">
        <v>878.0</v>
      </c>
      <c r="B878" s="47"/>
      <c r="C878" s="47"/>
      <c r="D878" s="47"/>
      <c r="E878" s="47"/>
      <c r="F878" s="47"/>
      <c r="G878" s="30"/>
      <c r="H878" s="30"/>
    </row>
    <row r="879">
      <c r="A879" s="6">
        <v>879.0</v>
      </c>
      <c r="B879" s="47"/>
      <c r="C879" s="47"/>
      <c r="D879" s="47"/>
      <c r="E879" s="47"/>
      <c r="F879" s="47"/>
      <c r="G879" s="30"/>
      <c r="H879" s="30"/>
    </row>
    <row r="880">
      <c r="A880" s="6">
        <v>880.0</v>
      </c>
      <c r="B880" s="47"/>
      <c r="C880" s="47"/>
      <c r="D880" s="47"/>
      <c r="E880" s="47"/>
      <c r="F880" s="47"/>
      <c r="G880" s="30"/>
      <c r="H880" s="30"/>
    </row>
    <row r="881">
      <c r="A881" s="6">
        <v>881.0</v>
      </c>
      <c r="B881" s="47"/>
      <c r="C881" s="47"/>
      <c r="D881" s="47"/>
      <c r="E881" s="47"/>
      <c r="F881" s="47"/>
      <c r="G881" s="30"/>
      <c r="H881" s="30"/>
    </row>
    <row r="882">
      <c r="A882" s="6">
        <v>882.0</v>
      </c>
      <c r="B882" s="47"/>
      <c r="C882" s="47"/>
      <c r="D882" s="47"/>
      <c r="E882" s="47"/>
      <c r="F882" s="47"/>
      <c r="G882" s="30"/>
      <c r="H882" s="30"/>
    </row>
    <row r="883">
      <c r="A883" s="6">
        <v>883.0</v>
      </c>
      <c r="B883" s="47"/>
      <c r="C883" s="47"/>
      <c r="D883" s="47"/>
      <c r="E883" s="47"/>
      <c r="F883" s="47"/>
      <c r="G883" s="30"/>
      <c r="H883" s="30"/>
    </row>
    <row r="884">
      <c r="A884" s="6">
        <v>884.0</v>
      </c>
      <c r="B884" s="47"/>
      <c r="C884" s="47"/>
      <c r="D884" s="47"/>
      <c r="E884" s="47"/>
      <c r="F884" s="47"/>
      <c r="G884" s="30"/>
      <c r="H884" s="30"/>
    </row>
    <row r="885">
      <c r="A885" s="6">
        <v>885.0</v>
      </c>
      <c r="B885" s="47"/>
      <c r="C885" s="47"/>
      <c r="D885" s="47"/>
      <c r="E885" s="47"/>
      <c r="F885" s="47"/>
      <c r="G885" s="30"/>
      <c r="H885" s="30"/>
    </row>
    <row r="886">
      <c r="A886" s="6">
        <v>886.0</v>
      </c>
      <c r="B886" s="47"/>
      <c r="C886" s="47"/>
      <c r="D886" s="47"/>
      <c r="E886" s="47"/>
      <c r="F886" s="47"/>
      <c r="G886" s="30"/>
      <c r="H886" s="30"/>
    </row>
    <row r="887">
      <c r="A887" s="6">
        <v>887.0</v>
      </c>
      <c r="B887" s="47"/>
      <c r="C887" s="47"/>
      <c r="D887" s="47"/>
      <c r="E887" s="47"/>
      <c r="F887" s="47"/>
      <c r="G887" s="30"/>
      <c r="H887" s="30"/>
    </row>
    <row r="888">
      <c r="A888" s="6">
        <v>888.0</v>
      </c>
      <c r="B888" s="47"/>
      <c r="C888" s="47"/>
      <c r="D888" s="47"/>
      <c r="E888" s="47"/>
      <c r="F888" s="47"/>
      <c r="G888" s="30"/>
      <c r="H888" s="30"/>
    </row>
    <row r="889">
      <c r="A889" s="6">
        <v>889.0</v>
      </c>
      <c r="B889" s="47"/>
      <c r="C889" s="47"/>
      <c r="D889" s="47"/>
      <c r="E889" s="47"/>
      <c r="F889" s="47"/>
      <c r="G889" s="30"/>
      <c r="H889" s="30"/>
    </row>
    <row r="890">
      <c r="A890" s="6">
        <v>890.0</v>
      </c>
      <c r="B890" s="47"/>
      <c r="C890" s="47"/>
      <c r="D890" s="47"/>
      <c r="E890" s="47"/>
      <c r="F890" s="47"/>
      <c r="G890" s="30"/>
      <c r="H890" s="30"/>
    </row>
    <row r="891">
      <c r="A891" s="6">
        <v>891.0</v>
      </c>
      <c r="B891" s="47"/>
      <c r="C891" s="47"/>
      <c r="D891" s="47"/>
      <c r="E891" s="47"/>
      <c r="F891" s="47"/>
      <c r="G891" s="30"/>
      <c r="H891" s="30"/>
    </row>
    <row r="892">
      <c r="A892" s="6">
        <v>892.0</v>
      </c>
      <c r="B892" s="47"/>
      <c r="C892" s="47"/>
      <c r="D892" s="47"/>
      <c r="E892" s="47"/>
      <c r="F892" s="47"/>
      <c r="G892" s="30"/>
      <c r="H892" s="30"/>
    </row>
    <row r="893">
      <c r="A893" s="6">
        <v>893.0</v>
      </c>
      <c r="B893" s="47"/>
      <c r="C893" s="47"/>
      <c r="D893" s="47"/>
      <c r="E893" s="47"/>
      <c r="F893" s="47"/>
      <c r="G893" s="30"/>
      <c r="H893" s="30"/>
    </row>
    <row r="894">
      <c r="A894" s="6">
        <v>894.0</v>
      </c>
      <c r="B894" s="47"/>
      <c r="C894" s="47"/>
      <c r="D894" s="47"/>
      <c r="E894" s="47"/>
      <c r="F894" s="47"/>
      <c r="G894" s="30"/>
      <c r="H894" s="30"/>
    </row>
    <row r="895">
      <c r="A895" s="6">
        <v>895.0</v>
      </c>
      <c r="B895" s="47"/>
      <c r="C895" s="47"/>
      <c r="D895" s="47"/>
      <c r="E895" s="47"/>
      <c r="F895" s="47"/>
      <c r="G895" s="30"/>
      <c r="H895" s="30"/>
    </row>
    <row r="896">
      <c r="A896" s="6">
        <v>896.0</v>
      </c>
      <c r="B896" s="47"/>
      <c r="C896" s="47"/>
      <c r="D896" s="47"/>
      <c r="E896" s="47"/>
      <c r="F896" s="47"/>
      <c r="G896" s="30"/>
      <c r="H896" s="30"/>
    </row>
    <row r="897">
      <c r="A897" s="6">
        <v>897.0</v>
      </c>
      <c r="B897" s="47"/>
      <c r="C897" s="47"/>
      <c r="D897" s="47"/>
      <c r="E897" s="47"/>
      <c r="F897" s="47"/>
      <c r="G897" s="30"/>
      <c r="H897" s="30"/>
    </row>
    <row r="898">
      <c r="A898" s="6">
        <v>898.0</v>
      </c>
      <c r="B898" s="47"/>
      <c r="C898" s="47"/>
      <c r="D898" s="47"/>
      <c r="E898" s="47"/>
      <c r="F898" s="47"/>
      <c r="G898" s="30"/>
      <c r="H898" s="30"/>
    </row>
    <row r="899">
      <c r="A899" s="6">
        <v>899.0</v>
      </c>
      <c r="B899" s="47"/>
      <c r="C899" s="47"/>
      <c r="D899" s="47"/>
      <c r="E899" s="47"/>
      <c r="F899" s="47"/>
      <c r="G899" s="30"/>
      <c r="H899" s="30"/>
    </row>
    <row r="900">
      <c r="A900" s="6">
        <v>900.0</v>
      </c>
      <c r="B900" s="47"/>
      <c r="C900" s="47"/>
      <c r="D900" s="47"/>
      <c r="E900" s="47"/>
      <c r="F900" s="47"/>
      <c r="G900" s="30"/>
      <c r="H900" s="30"/>
    </row>
    <row r="901">
      <c r="A901" s="6">
        <v>901.0</v>
      </c>
      <c r="B901" s="47"/>
      <c r="C901" s="47"/>
      <c r="D901" s="47"/>
      <c r="E901" s="47"/>
      <c r="F901" s="47"/>
      <c r="G901" s="30"/>
      <c r="H901" s="30"/>
    </row>
    <row r="902">
      <c r="A902" s="6">
        <v>902.0</v>
      </c>
      <c r="B902" s="47"/>
      <c r="C902" s="47"/>
      <c r="D902" s="47"/>
      <c r="E902" s="47"/>
      <c r="F902" s="47"/>
      <c r="G902" s="30"/>
      <c r="H902" s="30"/>
    </row>
    <row r="903">
      <c r="A903" s="6">
        <v>903.0</v>
      </c>
      <c r="B903" s="47"/>
      <c r="C903" s="47"/>
      <c r="D903" s="47"/>
      <c r="E903" s="47"/>
      <c r="F903" s="47"/>
      <c r="G903" s="30"/>
      <c r="H903" s="30"/>
    </row>
    <row r="904">
      <c r="A904" s="6">
        <v>904.0</v>
      </c>
      <c r="B904" s="47"/>
      <c r="C904" s="47"/>
      <c r="D904" s="47"/>
      <c r="E904" s="47"/>
      <c r="F904" s="47"/>
      <c r="G904" s="30"/>
      <c r="H904" s="30"/>
    </row>
    <row r="905">
      <c r="A905" s="6">
        <v>905.0</v>
      </c>
      <c r="B905" s="47"/>
      <c r="C905" s="47"/>
      <c r="D905" s="47"/>
      <c r="E905" s="47"/>
      <c r="F905" s="47"/>
      <c r="G905" s="30"/>
      <c r="H905" s="30"/>
    </row>
    <row r="906">
      <c r="A906" s="6">
        <v>906.0</v>
      </c>
      <c r="B906" s="47"/>
      <c r="C906" s="47"/>
      <c r="D906" s="47"/>
      <c r="E906" s="47"/>
      <c r="F906" s="47"/>
      <c r="G906" s="30"/>
      <c r="H906" s="30"/>
    </row>
    <row r="907">
      <c r="A907" s="6">
        <v>907.0</v>
      </c>
      <c r="B907" s="47"/>
      <c r="C907" s="47"/>
      <c r="D907" s="47"/>
      <c r="E907" s="47"/>
      <c r="F907" s="47"/>
      <c r="G907" s="30"/>
      <c r="H907" s="30"/>
    </row>
    <row r="908">
      <c r="A908" s="6">
        <v>908.0</v>
      </c>
      <c r="B908" s="47"/>
      <c r="C908" s="47"/>
      <c r="D908" s="47"/>
      <c r="E908" s="47"/>
      <c r="F908" s="47"/>
      <c r="G908" s="30"/>
      <c r="H908" s="30"/>
    </row>
    <row r="909">
      <c r="A909" s="6">
        <v>909.0</v>
      </c>
      <c r="B909" s="47"/>
      <c r="C909" s="47"/>
      <c r="D909" s="47"/>
      <c r="E909" s="47"/>
      <c r="F909" s="47"/>
      <c r="G909" s="30"/>
      <c r="H909" s="30"/>
    </row>
    <row r="910">
      <c r="A910" s="6">
        <v>910.0</v>
      </c>
      <c r="B910" s="47"/>
      <c r="C910" s="47"/>
      <c r="D910" s="47"/>
      <c r="E910" s="47"/>
      <c r="F910" s="47"/>
      <c r="G910" s="30"/>
      <c r="H910" s="30"/>
    </row>
    <row r="911">
      <c r="A911" s="6">
        <v>911.0</v>
      </c>
      <c r="B911" s="47"/>
      <c r="C911" s="47"/>
      <c r="D911" s="47"/>
      <c r="E911" s="47"/>
      <c r="F911" s="47"/>
      <c r="G911" s="30"/>
      <c r="H911" s="30"/>
    </row>
    <row r="912">
      <c r="A912" s="6">
        <v>912.0</v>
      </c>
      <c r="B912" s="47"/>
      <c r="C912" s="47"/>
      <c r="D912" s="47"/>
      <c r="E912" s="47"/>
      <c r="F912" s="47"/>
      <c r="G912" s="30"/>
      <c r="H912" s="30"/>
    </row>
    <row r="913">
      <c r="A913" s="6">
        <v>913.0</v>
      </c>
      <c r="B913" s="47"/>
      <c r="C913" s="47"/>
      <c r="D913" s="47"/>
      <c r="E913" s="47"/>
      <c r="F913" s="47"/>
      <c r="G913" s="30"/>
      <c r="H913" s="30"/>
    </row>
    <row r="914">
      <c r="A914" s="6">
        <v>914.0</v>
      </c>
      <c r="B914" s="47"/>
      <c r="C914" s="47"/>
      <c r="D914" s="47"/>
      <c r="E914" s="47"/>
      <c r="F914" s="47"/>
      <c r="G914" s="30"/>
      <c r="H914" s="30"/>
    </row>
    <row r="915">
      <c r="A915" s="6">
        <v>915.0</v>
      </c>
      <c r="B915" s="47"/>
      <c r="C915" s="47"/>
      <c r="D915" s="47"/>
      <c r="E915" s="47"/>
      <c r="F915" s="47"/>
      <c r="G915" s="30"/>
      <c r="H915" s="30"/>
    </row>
    <row r="916">
      <c r="A916" s="6">
        <v>916.0</v>
      </c>
      <c r="B916" s="47"/>
      <c r="C916" s="47"/>
      <c r="D916" s="47"/>
      <c r="E916" s="47"/>
      <c r="F916" s="47"/>
      <c r="G916" s="30"/>
      <c r="H916" s="30"/>
    </row>
    <row r="917">
      <c r="A917" s="6">
        <v>917.0</v>
      </c>
      <c r="B917" s="47"/>
      <c r="C917" s="47"/>
      <c r="D917" s="47"/>
      <c r="E917" s="47"/>
      <c r="F917" s="47"/>
      <c r="G917" s="30"/>
      <c r="H917" s="30"/>
    </row>
    <row r="918">
      <c r="A918" s="6">
        <v>918.0</v>
      </c>
      <c r="B918" s="47"/>
      <c r="C918" s="47"/>
      <c r="D918" s="47"/>
      <c r="E918" s="47"/>
      <c r="F918" s="47"/>
      <c r="G918" s="30"/>
      <c r="H918" s="30"/>
    </row>
    <row r="919">
      <c r="A919" s="6">
        <v>919.0</v>
      </c>
      <c r="B919" s="47"/>
      <c r="C919" s="47"/>
      <c r="D919" s="47"/>
      <c r="E919" s="47"/>
      <c r="F919" s="47"/>
      <c r="G919" s="30"/>
      <c r="H919" s="30"/>
    </row>
    <row r="920">
      <c r="A920" s="6">
        <v>920.0</v>
      </c>
      <c r="B920" s="47"/>
      <c r="C920" s="47"/>
      <c r="D920" s="47"/>
      <c r="E920" s="47"/>
      <c r="F920" s="47"/>
      <c r="G920" s="30"/>
      <c r="H920" s="30"/>
    </row>
    <row r="921">
      <c r="A921" s="6">
        <v>921.0</v>
      </c>
      <c r="B921" s="47"/>
      <c r="C921" s="47"/>
      <c r="D921" s="47"/>
      <c r="E921" s="47"/>
      <c r="F921" s="47"/>
      <c r="G921" s="30"/>
      <c r="H921" s="30"/>
    </row>
    <row r="922">
      <c r="A922" s="6">
        <v>922.0</v>
      </c>
      <c r="B922" s="47"/>
      <c r="C922" s="47"/>
      <c r="D922" s="47"/>
      <c r="E922" s="47"/>
      <c r="F922" s="47"/>
      <c r="G922" s="30"/>
      <c r="H922" s="30"/>
    </row>
    <row r="923">
      <c r="A923" s="6">
        <v>923.0</v>
      </c>
      <c r="B923" s="47"/>
      <c r="C923" s="47"/>
      <c r="D923" s="47"/>
      <c r="E923" s="47"/>
      <c r="F923" s="47"/>
      <c r="G923" s="30"/>
      <c r="H923" s="30"/>
    </row>
    <row r="924">
      <c r="A924" s="6">
        <v>924.0</v>
      </c>
      <c r="B924" s="47"/>
      <c r="C924" s="47"/>
      <c r="D924" s="47"/>
      <c r="E924" s="47"/>
      <c r="F924" s="47"/>
      <c r="G924" s="30"/>
      <c r="H924" s="30"/>
    </row>
    <row r="925">
      <c r="A925" s="6">
        <v>925.0</v>
      </c>
      <c r="B925" s="47"/>
      <c r="C925" s="47"/>
      <c r="D925" s="47"/>
      <c r="E925" s="47"/>
      <c r="F925" s="47"/>
      <c r="G925" s="30"/>
      <c r="H925" s="30"/>
    </row>
    <row r="926">
      <c r="A926" s="6">
        <v>926.0</v>
      </c>
      <c r="B926" s="47"/>
      <c r="C926" s="47"/>
      <c r="D926" s="47"/>
      <c r="E926" s="47"/>
      <c r="F926" s="47"/>
      <c r="G926" s="30"/>
      <c r="H926" s="30"/>
    </row>
    <row r="927">
      <c r="A927" s="6">
        <v>927.0</v>
      </c>
      <c r="B927" s="47"/>
      <c r="C927" s="47"/>
      <c r="D927" s="47"/>
      <c r="E927" s="47"/>
      <c r="F927" s="47"/>
      <c r="G927" s="30"/>
      <c r="H927" s="30"/>
    </row>
    <row r="928">
      <c r="A928" s="6">
        <v>928.0</v>
      </c>
      <c r="B928" s="47"/>
      <c r="C928" s="47"/>
      <c r="D928" s="47"/>
      <c r="E928" s="47"/>
      <c r="F928" s="47"/>
      <c r="G928" s="30"/>
      <c r="H928" s="30"/>
    </row>
    <row r="929">
      <c r="A929" s="6">
        <v>929.0</v>
      </c>
      <c r="B929" s="47"/>
      <c r="C929" s="47"/>
      <c r="D929" s="47"/>
      <c r="E929" s="47"/>
      <c r="F929" s="47"/>
      <c r="G929" s="30"/>
      <c r="H929" s="30"/>
    </row>
    <row r="930">
      <c r="A930" s="6">
        <v>930.0</v>
      </c>
      <c r="B930" s="47"/>
      <c r="C930" s="47"/>
      <c r="D930" s="47"/>
      <c r="E930" s="47"/>
      <c r="F930" s="47"/>
      <c r="G930" s="30"/>
      <c r="H930" s="30"/>
    </row>
    <row r="931">
      <c r="A931" s="6">
        <v>931.0</v>
      </c>
      <c r="B931" s="47"/>
      <c r="C931" s="47"/>
      <c r="D931" s="47"/>
      <c r="E931" s="47"/>
      <c r="F931" s="47"/>
      <c r="G931" s="30"/>
      <c r="H931" s="30"/>
    </row>
    <row r="932">
      <c r="A932" s="6">
        <v>932.0</v>
      </c>
      <c r="B932" s="47"/>
      <c r="C932" s="47"/>
      <c r="D932" s="47"/>
      <c r="E932" s="47"/>
      <c r="F932" s="47"/>
      <c r="G932" s="30"/>
      <c r="H932" s="30"/>
    </row>
    <row r="933">
      <c r="A933" s="6">
        <v>933.0</v>
      </c>
      <c r="B933" s="47"/>
      <c r="C933" s="47"/>
      <c r="D933" s="47"/>
      <c r="E933" s="47"/>
      <c r="F933" s="47"/>
      <c r="G933" s="30"/>
      <c r="H933" s="30"/>
    </row>
    <row r="934">
      <c r="A934" s="6">
        <v>934.0</v>
      </c>
      <c r="B934" s="47"/>
      <c r="C934" s="47"/>
      <c r="D934" s="47"/>
      <c r="E934" s="47"/>
      <c r="F934" s="47"/>
      <c r="G934" s="30"/>
      <c r="H934" s="30"/>
    </row>
    <row r="935">
      <c r="A935" s="6">
        <v>935.0</v>
      </c>
      <c r="B935" s="47"/>
      <c r="C935" s="47"/>
      <c r="D935" s="47"/>
      <c r="E935" s="47"/>
      <c r="F935" s="47"/>
      <c r="G935" s="30"/>
      <c r="H935" s="30"/>
    </row>
    <row r="936">
      <c r="A936" s="6">
        <v>936.0</v>
      </c>
      <c r="B936" s="47"/>
      <c r="C936" s="47"/>
      <c r="D936" s="47"/>
      <c r="E936" s="47"/>
      <c r="F936" s="47"/>
      <c r="G936" s="30"/>
      <c r="H936" s="30"/>
    </row>
    <row r="937">
      <c r="A937" s="6">
        <v>937.0</v>
      </c>
      <c r="B937" s="47"/>
      <c r="C937" s="47"/>
      <c r="D937" s="47"/>
      <c r="E937" s="47"/>
      <c r="F937" s="47"/>
      <c r="G937" s="30"/>
      <c r="H937" s="30"/>
    </row>
    <row r="938">
      <c r="A938" s="6">
        <v>938.0</v>
      </c>
      <c r="B938" s="47"/>
      <c r="C938" s="47"/>
      <c r="D938" s="47"/>
      <c r="E938" s="47"/>
      <c r="F938" s="47"/>
      <c r="G938" s="30"/>
      <c r="H938" s="30"/>
    </row>
    <row r="939">
      <c r="A939" s="6">
        <v>939.0</v>
      </c>
      <c r="B939" s="47"/>
      <c r="C939" s="47"/>
      <c r="D939" s="47"/>
      <c r="E939" s="47"/>
      <c r="F939" s="47"/>
      <c r="G939" s="30"/>
      <c r="H939" s="30"/>
    </row>
    <row r="940">
      <c r="A940" s="6">
        <v>940.0</v>
      </c>
      <c r="B940" s="47"/>
      <c r="C940" s="47"/>
      <c r="D940" s="47"/>
      <c r="E940" s="47"/>
      <c r="F940" s="47"/>
      <c r="G940" s="30"/>
      <c r="H940" s="30"/>
    </row>
    <row r="941">
      <c r="A941" s="6">
        <v>941.0</v>
      </c>
      <c r="B941" s="47"/>
      <c r="C941" s="47"/>
      <c r="D941" s="47"/>
      <c r="E941" s="47"/>
      <c r="F941" s="47"/>
      <c r="G941" s="30"/>
      <c r="H941" s="30"/>
    </row>
    <row r="942">
      <c r="A942" s="6">
        <v>942.0</v>
      </c>
      <c r="B942" s="47"/>
      <c r="C942" s="47"/>
      <c r="D942" s="47"/>
      <c r="E942" s="47"/>
      <c r="F942" s="47"/>
      <c r="G942" s="30"/>
      <c r="H942" s="30"/>
    </row>
    <row r="943">
      <c r="A943" s="6">
        <v>943.0</v>
      </c>
      <c r="B943" s="47"/>
      <c r="C943" s="47"/>
      <c r="D943" s="47"/>
      <c r="E943" s="47"/>
      <c r="F943" s="47"/>
      <c r="G943" s="30"/>
      <c r="H943" s="30"/>
    </row>
    <row r="944">
      <c r="A944" s="6">
        <v>944.0</v>
      </c>
      <c r="B944" s="47"/>
      <c r="C944" s="47"/>
      <c r="D944" s="47"/>
      <c r="E944" s="47"/>
      <c r="F944" s="47"/>
      <c r="G944" s="30"/>
      <c r="H944" s="30"/>
    </row>
    <row r="945">
      <c r="A945" s="6">
        <v>945.0</v>
      </c>
      <c r="B945" s="47"/>
      <c r="C945" s="47"/>
      <c r="D945" s="47"/>
      <c r="E945" s="47"/>
      <c r="F945" s="47"/>
      <c r="G945" s="30"/>
      <c r="H945" s="30"/>
    </row>
    <row r="946">
      <c r="A946" s="6">
        <v>946.0</v>
      </c>
      <c r="B946" s="47"/>
      <c r="C946" s="47"/>
      <c r="D946" s="47"/>
      <c r="E946" s="47"/>
      <c r="F946" s="47"/>
      <c r="G946" s="30"/>
      <c r="H946" s="30"/>
    </row>
    <row r="947">
      <c r="A947" s="6">
        <v>947.0</v>
      </c>
      <c r="B947" s="47"/>
      <c r="C947" s="47"/>
      <c r="D947" s="47"/>
      <c r="E947" s="47"/>
      <c r="F947" s="47"/>
      <c r="G947" s="30"/>
      <c r="H947" s="30"/>
    </row>
    <row r="948">
      <c r="A948" s="6">
        <v>948.0</v>
      </c>
      <c r="B948" s="47"/>
      <c r="C948" s="47"/>
      <c r="D948" s="47"/>
      <c r="E948" s="47"/>
      <c r="F948" s="47"/>
      <c r="G948" s="30"/>
      <c r="H948" s="30"/>
    </row>
    <row r="949">
      <c r="A949" s="6">
        <v>949.0</v>
      </c>
      <c r="B949" s="47"/>
      <c r="C949" s="47"/>
      <c r="D949" s="47"/>
      <c r="E949" s="47"/>
      <c r="F949" s="47"/>
      <c r="G949" s="30"/>
      <c r="H949" s="30"/>
    </row>
    <row r="950">
      <c r="A950" s="6">
        <v>950.0</v>
      </c>
      <c r="B950" s="47"/>
      <c r="C950" s="47"/>
      <c r="D950" s="47"/>
      <c r="E950" s="47"/>
      <c r="F950" s="47"/>
      <c r="G950" s="30"/>
      <c r="H950" s="30"/>
    </row>
    <row r="951">
      <c r="A951" s="6">
        <v>951.0</v>
      </c>
      <c r="B951" s="47"/>
      <c r="C951" s="47"/>
      <c r="D951" s="47"/>
      <c r="E951" s="47"/>
      <c r="F951" s="47"/>
      <c r="G951" s="30"/>
      <c r="H951" s="30"/>
    </row>
    <row r="952">
      <c r="A952" s="6">
        <v>952.0</v>
      </c>
      <c r="B952" s="47"/>
      <c r="C952" s="47"/>
      <c r="D952" s="47"/>
      <c r="E952" s="47"/>
      <c r="F952" s="47"/>
      <c r="G952" s="30"/>
      <c r="H952" s="30"/>
    </row>
    <row r="953">
      <c r="A953" s="6">
        <v>953.0</v>
      </c>
      <c r="B953" s="47"/>
      <c r="C953" s="47"/>
      <c r="D953" s="47"/>
      <c r="E953" s="47"/>
      <c r="F953" s="47"/>
      <c r="G953" s="30"/>
      <c r="H953" s="30"/>
    </row>
    <row r="954">
      <c r="A954" s="6">
        <v>954.0</v>
      </c>
      <c r="B954" s="47"/>
      <c r="C954" s="47"/>
      <c r="D954" s="47"/>
      <c r="E954" s="47"/>
      <c r="F954" s="47"/>
      <c r="G954" s="30"/>
      <c r="H954" s="30"/>
    </row>
    <row r="955">
      <c r="A955" s="6">
        <v>955.0</v>
      </c>
      <c r="B955" s="47"/>
      <c r="C955" s="47"/>
      <c r="D955" s="47"/>
      <c r="E955" s="47"/>
      <c r="F955" s="47"/>
      <c r="G955" s="30"/>
      <c r="H955" s="30"/>
    </row>
    <row r="956">
      <c r="A956" s="6">
        <v>956.0</v>
      </c>
      <c r="B956" s="47"/>
      <c r="C956" s="47"/>
      <c r="D956" s="47"/>
      <c r="E956" s="47"/>
      <c r="F956" s="47"/>
      <c r="G956" s="30"/>
      <c r="H956" s="30"/>
    </row>
    <row r="957">
      <c r="A957" s="6">
        <v>957.0</v>
      </c>
      <c r="B957" s="47"/>
      <c r="C957" s="47"/>
      <c r="D957" s="47"/>
      <c r="E957" s="47"/>
      <c r="F957" s="47"/>
      <c r="G957" s="30"/>
      <c r="H957" s="30"/>
    </row>
    <row r="958">
      <c r="A958" s="6">
        <v>958.0</v>
      </c>
      <c r="B958" s="47"/>
      <c r="C958" s="47"/>
      <c r="D958" s="47"/>
      <c r="E958" s="47"/>
      <c r="F958" s="47"/>
      <c r="G958" s="30"/>
      <c r="H958" s="30"/>
    </row>
    <row r="959">
      <c r="A959" s="6">
        <v>959.0</v>
      </c>
      <c r="B959" s="47"/>
      <c r="C959" s="47"/>
      <c r="D959" s="47"/>
      <c r="E959" s="47"/>
      <c r="F959" s="47"/>
      <c r="G959" s="30"/>
      <c r="H959" s="30"/>
    </row>
    <row r="960">
      <c r="A960" s="6">
        <v>960.0</v>
      </c>
      <c r="B960" s="47"/>
      <c r="C960" s="47"/>
      <c r="D960" s="47"/>
      <c r="E960" s="47"/>
      <c r="F960" s="47"/>
      <c r="G960" s="30"/>
      <c r="H960" s="30"/>
    </row>
    <row r="961">
      <c r="A961" s="6">
        <v>961.0</v>
      </c>
      <c r="B961" s="47"/>
      <c r="C961" s="47"/>
      <c r="D961" s="47"/>
      <c r="E961" s="47"/>
      <c r="F961" s="47"/>
      <c r="G961" s="30"/>
      <c r="H961" s="30"/>
    </row>
    <row r="962">
      <c r="A962" s="6">
        <v>962.0</v>
      </c>
      <c r="B962" s="47"/>
      <c r="C962" s="47"/>
      <c r="D962" s="47"/>
      <c r="E962" s="47"/>
      <c r="F962" s="47"/>
      <c r="G962" s="30"/>
      <c r="H962" s="30"/>
    </row>
    <row r="963">
      <c r="A963" s="6">
        <v>963.0</v>
      </c>
      <c r="B963" s="47"/>
      <c r="C963" s="47"/>
      <c r="D963" s="47"/>
      <c r="E963" s="47"/>
      <c r="F963" s="47"/>
      <c r="G963" s="30"/>
      <c r="H963" s="30"/>
    </row>
    <row r="964">
      <c r="A964" s="6">
        <v>964.0</v>
      </c>
      <c r="B964" s="47"/>
      <c r="C964" s="47"/>
      <c r="D964" s="47"/>
      <c r="E964" s="47"/>
      <c r="F964" s="47"/>
      <c r="G964" s="30"/>
      <c r="H964" s="30"/>
    </row>
    <row r="965">
      <c r="A965" s="6">
        <v>965.0</v>
      </c>
      <c r="B965" s="47"/>
      <c r="C965" s="47"/>
      <c r="D965" s="47"/>
      <c r="E965" s="47"/>
      <c r="F965" s="47"/>
      <c r="G965" s="30"/>
      <c r="H965" s="30"/>
    </row>
    <row r="966">
      <c r="A966" s="6">
        <v>966.0</v>
      </c>
      <c r="B966" s="47"/>
      <c r="C966" s="47"/>
      <c r="D966" s="47"/>
      <c r="E966" s="47"/>
      <c r="F966" s="47"/>
      <c r="G966" s="30"/>
      <c r="H966" s="30"/>
    </row>
    <row r="967">
      <c r="A967" s="6">
        <v>967.0</v>
      </c>
      <c r="B967" s="47"/>
      <c r="C967" s="47"/>
      <c r="D967" s="47"/>
      <c r="E967" s="47"/>
      <c r="F967" s="47"/>
      <c r="G967" s="30"/>
      <c r="H967" s="30"/>
    </row>
    <row r="968">
      <c r="A968" s="6">
        <v>968.0</v>
      </c>
      <c r="B968" s="47"/>
      <c r="C968" s="47"/>
      <c r="D968" s="47"/>
      <c r="E968" s="47"/>
      <c r="F968" s="47"/>
      <c r="G968" s="30"/>
      <c r="H968" s="30"/>
    </row>
    <row r="969">
      <c r="A969" s="6">
        <v>969.0</v>
      </c>
      <c r="B969" s="47"/>
      <c r="C969" s="47"/>
      <c r="D969" s="47"/>
      <c r="E969" s="47"/>
      <c r="F969" s="47"/>
      <c r="G969" s="30"/>
      <c r="H969" s="30"/>
    </row>
    <row r="970">
      <c r="A970" s="6">
        <v>970.0</v>
      </c>
      <c r="B970" s="47"/>
      <c r="C970" s="47"/>
      <c r="D970" s="47"/>
      <c r="E970" s="47"/>
      <c r="F970" s="47"/>
      <c r="G970" s="30"/>
      <c r="H970" s="30"/>
    </row>
    <row r="971">
      <c r="A971" s="6">
        <v>971.0</v>
      </c>
      <c r="B971" s="47"/>
      <c r="C971" s="47"/>
      <c r="D971" s="47"/>
      <c r="E971" s="47"/>
      <c r="F971" s="47"/>
      <c r="G971" s="30"/>
      <c r="H971" s="30"/>
    </row>
    <row r="972">
      <c r="A972" s="6">
        <v>972.0</v>
      </c>
      <c r="B972" s="47"/>
      <c r="C972" s="47"/>
      <c r="D972" s="47"/>
      <c r="E972" s="47"/>
      <c r="F972" s="47"/>
      <c r="G972" s="30"/>
      <c r="H972" s="30"/>
    </row>
    <row r="973">
      <c r="A973" s="6">
        <v>973.0</v>
      </c>
      <c r="B973" s="47"/>
      <c r="C973" s="47"/>
      <c r="D973" s="47"/>
      <c r="E973" s="47"/>
      <c r="F973" s="47"/>
      <c r="G973" s="30"/>
      <c r="H973" s="30"/>
    </row>
    <row r="974">
      <c r="A974" s="6">
        <v>974.0</v>
      </c>
      <c r="B974" s="47"/>
      <c r="C974" s="47"/>
      <c r="D974" s="47"/>
      <c r="E974" s="47"/>
      <c r="F974" s="47"/>
      <c r="G974" s="30"/>
      <c r="H974" s="30"/>
    </row>
    <row r="975">
      <c r="A975" s="6">
        <v>975.0</v>
      </c>
      <c r="B975" s="47"/>
      <c r="C975" s="47"/>
      <c r="D975" s="47"/>
      <c r="E975" s="47"/>
      <c r="F975" s="47"/>
      <c r="G975" s="30"/>
      <c r="H975" s="30"/>
    </row>
    <row r="976">
      <c r="A976" s="6">
        <v>976.0</v>
      </c>
      <c r="B976" s="47"/>
      <c r="C976" s="47"/>
      <c r="D976" s="47"/>
      <c r="E976" s="47"/>
      <c r="F976" s="47"/>
      <c r="G976" s="30"/>
      <c r="H976" s="30"/>
    </row>
    <row r="977">
      <c r="A977" s="6">
        <v>977.0</v>
      </c>
      <c r="B977" s="47"/>
      <c r="C977" s="47"/>
      <c r="D977" s="47"/>
      <c r="E977" s="47"/>
      <c r="F977" s="47"/>
      <c r="G977" s="30"/>
      <c r="H977" s="30"/>
    </row>
    <row r="978">
      <c r="A978" s="6">
        <v>978.0</v>
      </c>
      <c r="B978" s="47"/>
      <c r="C978" s="47"/>
      <c r="D978" s="47"/>
      <c r="E978" s="47"/>
      <c r="F978" s="47"/>
      <c r="G978" s="30"/>
      <c r="H978" s="30"/>
    </row>
    <row r="979">
      <c r="A979" s="6">
        <v>979.0</v>
      </c>
      <c r="B979" s="47"/>
      <c r="C979" s="47"/>
      <c r="D979" s="47"/>
      <c r="E979" s="47"/>
      <c r="F979" s="47"/>
      <c r="G979" s="30"/>
      <c r="H979" s="30"/>
    </row>
    <row r="980">
      <c r="A980" s="6">
        <v>980.0</v>
      </c>
      <c r="B980" s="47"/>
      <c r="C980" s="47"/>
      <c r="D980" s="47"/>
      <c r="E980" s="47"/>
      <c r="F980" s="47"/>
      <c r="G980" s="30"/>
      <c r="H980" s="30"/>
    </row>
    <row r="981">
      <c r="A981" s="6">
        <v>981.0</v>
      </c>
      <c r="B981" s="47"/>
      <c r="C981" s="47"/>
      <c r="D981" s="47"/>
      <c r="E981" s="47"/>
      <c r="F981" s="47"/>
      <c r="G981" s="30"/>
      <c r="H981" s="30"/>
    </row>
    <row r="982">
      <c r="A982" s="6">
        <v>982.0</v>
      </c>
      <c r="B982" s="47"/>
      <c r="C982" s="47"/>
      <c r="D982" s="47"/>
      <c r="E982" s="47"/>
      <c r="F982" s="47"/>
      <c r="G982" s="30"/>
      <c r="H982" s="30"/>
    </row>
    <row r="983">
      <c r="A983" s="6">
        <v>983.0</v>
      </c>
      <c r="B983" s="47"/>
      <c r="C983" s="47"/>
      <c r="D983" s="47"/>
      <c r="E983" s="47"/>
      <c r="F983" s="47"/>
      <c r="G983" s="30"/>
      <c r="H983" s="30"/>
    </row>
    <row r="984">
      <c r="A984" s="6">
        <v>984.0</v>
      </c>
      <c r="B984" s="47"/>
      <c r="C984" s="47"/>
      <c r="D984" s="47"/>
      <c r="E984" s="47"/>
      <c r="F984" s="47"/>
      <c r="G984" s="30"/>
      <c r="H984" s="30"/>
    </row>
    <row r="985">
      <c r="A985" s="6">
        <v>985.0</v>
      </c>
      <c r="B985" s="47"/>
      <c r="C985" s="47"/>
      <c r="D985" s="47"/>
      <c r="E985" s="47"/>
      <c r="F985" s="47"/>
      <c r="G985" s="30"/>
      <c r="H985" s="30"/>
    </row>
    <row r="986">
      <c r="A986" s="6">
        <v>986.0</v>
      </c>
      <c r="B986" s="47"/>
      <c r="C986" s="47"/>
      <c r="D986" s="47"/>
      <c r="E986" s="47"/>
      <c r="F986" s="47"/>
      <c r="G986" s="30"/>
      <c r="H986" s="30"/>
    </row>
    <row r="987">
      <c r="A987" s="6">
        <v>987.0</v>
      </c>
      <c r="B987" s="47"/>
      <c r="C987" s="47"/>
      <c r="D987" s="47"/>
      <c r="E987" s="47"/>
      <c r="F987" s="47"/>
      <c r="G987" s="30"/>
      <c r="H987" s="30"/>
    </row>
    <row r="988">
      <c r="A988" s="6">
        <v>988.0</v>
      </c>
      <c r="B988" s="47"/>
      <c r="C988" s="47"/>
      <c r="D988" s="47"/>
      <c r="E988" s="47"/>
      <c r="F988" s="47"/>
      <c r="G988" s="30"/>
      <c r="H988" s="30"/>
    </row>
    <row r="989">
      <c r="A989" s="6">
        <v>989.0</v>
      </c>
      <c r="B989" s="47"/>
      <c r="C989" s="47"/>
      <c r="D989" s="47"/>
      <c r="E989" s="47"/>
      <c r="F989" s="47"/>
      <c r="G989" s="30"/>
      <c r="H989" s="30"/>
    </row>
  </sheetData>
  <dataValidations>
    <dataValidation type="list" allowBlank="1" showErrorMessage="1" sqref="G2:G319 G321:G323 G326:G329 G336:G346 G349:G351 G355 G357:G395 G405:G407 G415:G416 G424:G427 G430">
      <formula1>"09.00 s/d 10.00 WiB ,Maksimal 06:00 WIB,06.00 s/d 09.00 WIB"</formula1>
    </dataValidation>
  </dataValidations>
  <hyperlinks>
    <hyperlink display="Dispensasi" location="Dispensasi!A1" ref="H2"/>
    <hyperlink display="https://docs.google.com/spreadsheets/d/1GIYP3gKlwKD1FjOm9J1bBxcXXS3yi7xxxQRVqMkhHXI/edit?gid=677168732#gid=677168732" location="Dispensasi!A1" ref="H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6.75"/>
    <col customWidth="1" min="8" max="9" width="12.25"/>
  </cols>
  <sheetData>
    <row r="1" ht="36.75" customHeight="1">
      <c r="A1" s="16" t="s">
        <v>9</v>
      </c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17" t="s">
        <v>22</v>
      </c>
      <c r="I1" s="17" t="s">
        <v>23</v>
      </c>
    </row>
    <row r="2" ht="22.5" customHeight="1">
      <c r="A2" s="22" t="str">
        <f t="shared" ref="A2:A26" si="1">TEXT(C2,"000")&amp;"/"&amp;D2&amp;"/"&amp;E2&amp;"/"&amp;F2&amp;"/"&amp;G2</f>
        <v>211/2/9/SUKJ/2025</v>
      </c>
      <c r="B2" s="24">
        <v>45902.0</v>
      </c>
      <c r="C2" s="29">
        <v>211.0</v>
      </c>
      <c r="D2" s="29">
        <v>2.0</v>
      </c>
      <c r="E2" s="29">
        <v>9.0</v>
      </c>
      <c r="F2" s="22" t="s">
        <v>51</v>
      </c>
      <c r="G2" s="29">
        <v>2025.0</v>
      </c>
      <c r="H2" s="29">
        <v>186.0</v>
      </c>
      <c r="I2" s="29">
        <v>36.0</v>
      </c>
    </row>
    <row r="3" ht="22.5" customHeight="1">
      <c r="A3" s="22" t="str">
        <f t="shared" si="1"/>
        <v>212/3/9/SUKJ/2025</v>
      </c>
      <c r="B3" s="24">
        <v>45903.0</v>
      </c>
      <c r="C3" s="29">
        <v>212.0</v>
      </c>
      <c r="D3" s="29">
        <v>3.0</v>
      </c>
      <c r="E3" s="29">
        <v>9.0</v>
      </c>
      <c r="F3" s="22" t="s">
        <v>51</v>
      </c>
      <c r="G3" s="29">
        <v>2025.0</v>
      </c>
      <c r="H3" s="29">
        <v>150.0</v>
      </c>
      <c r="I3" s="29">
        <v>36.0</v>
      </c>
    </row>
    <row r="4" ht="22.5" customHeight="1">
      <c r="A4" s="22" t="str">
        <f t="shared" si="1"/>
        <v>213/4/9/SUKJ/2025</v>
      </c>
      <c r="B4" s="24">
        <v>45904.0</v>
      </c>
      <c r="C4" s="29">
        <v>213.0</v>
      </c>
      <c r="D4" s="29">
        <v>4.0</v>
      </c>
      <c r="E4" s="29">
        <v>9.0</v>
      </c>
      <c r="F4" s="22" t="s">
        <v>51</v>
      </c>
      <c r="G4" s="29">
        <v>2025.0</v>
      </c>
      <c r="H4" s="29">
        <v>161.0</v>
      </c>
      <c r="I4" s="29">
        <v>28.0</v>
      </c>
    </row>
    <row r="5" ht="22.5" customHeight="1">
      <c r="A5" s="22" t="str">
        <f t="shared" si="1"/>
        <v>214/5/9/SUKJ/2025</v>
      </c>
      <c r="B5" s="24">
        <v>45905.0</v>
      </c>
      <c r="C5" s="29">
        <v>214.0</v>
      </c>
      <c r="D5" s="29">
        <v>5.0</v>
      </c>
      <c r="E5" s="29">
        <v>9.0</v>
      </c>
      <c r="F5" s="22" t="s">
        <v>51</v>
      </c>
      <c r="G5" s="29">
        <v>2025.0</v>
      </c>
      <c r="H5" s="43"/>
      <c r="I5" s="43"/>
    </row>
    <row r="6" ht="22.5" customHeight="1">
      <c r="A6" s="22" t="str">
        <f t="shared" si="1"/>
        <v>215/6/9/SUKJ/2025</v>
      </c>
      <c r="B6" s="24">
        <v>45906.0</v>
      </c>
      <c r="C6" s="29">
        <v>215.0</v>
      </c>
      <c r="D6" s="29">
        <v>6.0</v>
      </c>
      <c r="E6" s="29">
        <v>9.0</v>
      </c>
      <c r="F6" s="22" t="s">
        <v>51</v>
      </c>
      <c r="G6" s="29">
        <v>2025.0</v>
      </c>
      <c r="H6" s="29">
        <v>910.0</v>
      </c>
      <c r="I6" s="29">
        <v>226.0</v>
      </c>
    </row>
    <row r="7" ht="22.5" customHeight="1">
      <c r="A7" s="22" t="str">
        <f t="shared" si="1"/>
        <v>216/7/9/SUKJ/2025</v>
      </c>
      <c r="B7" s="24">
        <v>45907.0</v>
      </c>
      <c r="C7" s="29">
        <v>216.0</v>
      </c>
      <c r="D7" s="29">
        <v>7.0</v>
      </c>
      <c r="E7" s="29">
        <v>9.0</v>
      </c>
      <c r="F7" s="22" t="s">
        <v>51</v>
      </c>
      <c r="G7" s="29">
        <v>2025.0</v>
      </c>
      <c r="H7" s="29">
        <v>1758.0</v>
      </c>
      <c r="I7" s="29">
        <v>458.0</v>
      </c>
      <c r="L7" s="44" t="str">
        <f>"Hari/Tanggal : "&amp; TEXT(TODAY(),"dddd dd mmmm" )</f>
        <v>Hari/Tanggal : Kamis 06 Agustus</v>
      </c>
      <c r="M7" s="45"/>
      <c r="N7" s="45"/>
      <c r="O7" s="45"/>
    </row>
    <row r="8" ht="22.5" customHeight="1">
      <c r="A8" s="22" t="str">
        <f t="shared" si="1"/>
        <v>217/9/9/SUKJ/2025</v>
      </c>
      <c r="B8" s="24">
        <v>45909.0</v>
      </c>
      <c r="C8" s="29">
        <v>217.0</v>
      </c>
      <c r="D8" s="29">
        <v>9.0</v>
      </c>
      <c r="E8" s="29">
        <v>9.0</v>
      </c>
      <c r="F8" s="22" t="s">
        <v>51</v>
      </c>
      <c r="G8" s="29">
        <v>2025.0</v>
      </c>
      <c r="H8" s="29">
        <v>162.0</v>
      </c>
      <c r="I8" s="29">
        <v>34.0</v>
      </c>
    </row>
    <row r="9" ht="22.5" customHeight="1">
      <c r="A9" s="22" t="str">
        <f t="shared" si="1"/>
        <v>218/10/9/SUKJ/2025</v>
      </c>
      <c r="B9" s="46">
        <v>45910.0</v>
      </c>
      <c r="C9" s="29">
        <v>218.0</v>
      </c>
      <c r="D9" s="29">
        <v>10.0</v>
      </c>
      <c r="E9" s="29">
        <v>9.0</v>
      </c>
      <c r="F9" s="22" t="s">
        <v>51</v>
      </c>
      <c r="G9" s="29">
        <v>2025.0</v>
      </c>
      <c r="H9" s="29">
        <v>213.0</v>
      </c>
      <c r="I9" s="29">
        <v>30.0</v>
      </c>
    </row>
    <row r="10" ht="22.5" customHeight="1">
      <c r="A10" s="22" t="str">
        <f t="shared" si="1"/>
        <v>219/11/9/SUKJ/2025</v>
      </c>
      <c r="B10" s="46">
        <v>45911.0</v>
      </c>
      <c r="C10" s="29">
        <v>219.0</v>
      </c>
      <c r="D10" s="29">
        <v>11.0</v>
      </c>
      <c r="E10" s="29">
        <v>9.0</v>
      </c>
      <c r="F10" s="22" t="s">
        <v>51</v>
      </c>
      <c r="G10" s="29">
        <v>2025.0</v>
      </c>
      <c r="H10" s="29">
        <v>187.0</v>
      </c>
      <c r="I10" s="29">
        <v>33.0</v>
      </c>
    </row>
    <row r="11" ht="22.5" customHeight="1">
      <c r="A11" s="22" t="str">
        <f t="shared" si="1"/>
        <v>220/12/9/SUKJ/2025</v>
      </c>
      <c r="B11" s="46">
        <v>45912.0</v>
      </c>
      <c r="C11" s="29">
        <v>220.0</v>
      </c>
      <c r="D11" s="29">
        <v>12.0</v>
      </c>
      <c r="E11" s="29">
        <v>9.0</v>
      </c>
      <c r="F11" s="22" t="s">
        <v>51</v>
      </c>
      <c r="G11" s="29">
        <v>2025.0</v>
      </c>
      <c r="H11" s="29">
        <v>125.0</v>
      </c>
      <c r="I11" s="29">
        <v>30.0</v>
      </c>
    </row>
    <row r="12" ht="22.5" customHeight="1">
      <c r="A12" s="22" t="str">
        <f t="shared" si="1"/>
        <v>221/13/9/SUKJ/2025</v>
      </c>
      <c r="B12" s="46">
        <v>45913.0</v>
      </c>
      <c r="C12" s="29">
        <v>221.0</v>
      </c>
      <c r="D12" s="29">
        <v>13.0</v>
      </c>
      <c r="E12" s="29">
        <v>9.0</v>
      </c>
      <c r="F12" s="22" t="s">
        <v>51</v>
      </c>
      <c r="G12" s="29">
        <v>2025.0</v>
      </c>
      <c r="H12" s="29">
        <v>858.0</v>
      </c>
      <c r="I12" s="29">
        <v>209.0</v>
      </c>
    </row>
    <row r="13" ht="22.5" customHeight="1">
      <c r="A13" s="22" t="str">
        <f t="shared" si="1"/>
        <v>222/14/9/SUKJ/2025</v>
      </c>
      <c r="B13" s="46">
        <v>45914.0</v>
      </c>
      <c r="C13" s="29">
        <v>222.0</v>
      </c>
      <c r="D13" s="29">
        <v>14.0</v>
      </c>
      <c r="E13" s="29">
        <v>9.0</v>
      </c>
      <c r="F13" s="22" t="s">
        <v>51</v>
      </c>
      <c r="G13" s="29">
        <v>2025.0</v>
      </c>
      <c r="H13" s="29">
        <v>1658.0</v>
      </c>
      <c r="I13" s="29">
        <v>453.0</v>
      </c>
    </row>
    <row r="14" ht="22.5" customHeight="1">
      <c r="A14" s="22" t="str">
        <f t="shared" si="1"/>
        <v>223/16/9/SUKJ/2025</v>
      </c>
      <c r="B14" s="46">
        <v>45916.0</v>
      </c>
      <c r="C14" s="29">
        <v>223.0</v>
      </c>
      <c r="D14" s="29">
        <v>16.0</v>
      </c>
      <c r="E14" s="29">
        <v>9.0</v>
      </c>
      <c r="F14" s="22" t="s">
        <v>51</v>
      </c>
      <c r="G14" s="29">
        <v>2025.0</v>
      </c>
      <c r="H14" s="29">
        <v>132.0</v>
      </c>
      <c r="I14" s="29">
        <v>19.0</v>
      </c>
    </row>
    <row r="15" ht="22.5" customHeight="1">
      <c r="A15" s="22" t="str">
        <f t="shared" si="1"/>
        <v>224/17/9/SUKJ/2025</v>
      </c>
      <c r="B15" s="46">
        <v>45917.0</v>
      </c>
      <c r="C15" s="29">
        <v>224.0</v>
      </c>
      <c r="D15" s="29">
        <v>17.0</v>
      </c>
      <c r="E15" s="29">
        <v>9.0</v>
      </c>
      <c r="F15" s="22" t="s">
        <v>51</v>
      </c>
      <c r="G15" s="29">
        <v>2025.0</v>
      </c>
      <c r="H15" s="29">
        <v>200.0</v>
      </c>
      <c r="I15" s="29">
        <v>36.0</v>
      </c>
    </row>
    <row r="16" ht="22.5" customHeight="1">
      <c r="A16" s="22" t="str">
        <f t="shared" si="1"/>
        <v>225/18/9/SUKJ/2025</v>
      </c>
      <c r="B16" s="46">
        <v>45918.0</v>
      </c>
      <c r="C16" s="29">
        <v>225.0</v>
      </c>
      <c r="D16" s="29">
        <v>18.0</v>
      </c>
      <c r="E16" s="29">
        <v>9.0</v>
      </c>
      <c r="F16" s="22" t="s">
        <v>51</v>
      </c>
      <c r="G16" s="29">
        <v>2025.0</v>
      </c>
      <c r="H16" s="29">
        <v>143.0</v>
      </c>
      <c r="I16" s="29">
        <v>30.0</v>
      </c>
    </row>
    <row r="17" ht="22.5" customHeight="1">
      <c r="A17" s="22" t="str">
        <f t="shared" si="1"/>
        <v>226/19/9/SUKJ/2025</v>
      </c>
      <c r="B17" s="46">
        <v>45919.0</v>
      </c>
      <c r="C17" s="29">
        <v>226.0</v>
      </c>
      <c r="D17" s="29">
        <v>19.0</v>
      </c>
      <c r="E17" s="29">
        <v>9.0</v>
      </c>
      <c r="F17" s="22" t="s">
        <v>51</v>
      </c>
      <c r="G17" s="29">
        <v>2025.0</v>
      </c>
      <c r="H17" s="29">
        <v>160.0</v>
      </c>
      <c r="I17" s="29">
        <v>23.0</v>
      </c>
    </row>
    <row r="18" ht="22.5" customHeight="1">
      <c r="A18" s="22" t="str">
        <f t="shared" si="1"/>
        <v>227/20/9/SUKJ/2025</v>
      </c>
      <c r="B18" s="46">
        <v>45920.0</v>
      </c>
      <c r="C18" s="29">
        <v>227.0</v>
      </c>
      <c r="D18" s="29">
        <v>20.0</v>
      </c>
      <c r="E18" s="29">
        <v>9.0</v>
      </c>
      <c r="F18" s="22" t="s">
        <v>51</v>
      </c>
      <c r="G18" s="29">
        <v>2025.0</v>
      </c>
      <c r="H18" s="29">
        <v>756.0</v>
      </c>
      <c r="I18" s="29">
        <v>172.0</v>
      </c>
    </row>
    <row r="19" ht="22.5" customHeight="1">
      <c r="A19" s="22" t="str">
        <f t="shared" si="1"/>
        <v>228/21/9/SUKJ/2025</v>
      </c>
      <c r="B19" s="46">
        <v>45921.0</v>
      </c>
      <c r="C19" s="29">
        <v>228.0</v>
      </c>
      <c r="D19" s="29">
        <v>21.0</v>
      </c>
      <c r="E19" s="29">
        <v>9.0</v>
      </c>
      <c r="F19" s="22" t="s">
        <v>51</v>
      </c>
      <c r="G19" s="29">
        <v>2025.0</v>
      </c>
      <c r="H19" s="29">
        <v>1494.0</v>
      </c>
      <c r="I19" s="29">
        <v>418.0</v>
      </c>
    </row>
    <row r="20" ht="22.5" customHeight="1">
      <c r="A20" s="22" t="str">
        <f t="shared" si="1"/>
        <v>229/23/9/SUKJ/2025</v>
      </c>
      <c r="B20" s="46">
        <v>45923.0</v>
      </c>
      <c r="C20" s="29">
        <v>229.0</v>
      </c>
      <c r="D20" s="29">
        <v>23.0</v>
      </c>
      <c r="E20" s="29">
        <v>9.0</v>
      </c>
      <c r="F20" s="22" t="s">
        <v>51</v>
      </c>
      <c r="G20" s="29">
        <v>2025.0</v>
      </c>
      <c r="H20" s="29">
        <v>192.0</v>
      </c>
      <c r="I20" s="29">
        <v>48.0</v>
      </c>
    </row>
    <row r="21" ht="22.5" customHeight="1">
      <c r="A21" s="22" t="str">
        <f t="shared" si="1"/>
        <v>230/24/9/SUKJ/2025</v>
      </c>
      <c r="B21" s="46">
        <v>45924.0</v>
      </c>
      <c r="C21" s="29">
        <v>230.0</v>
      </c>
      <c r="D21" s="29">
        <v>24.0</v>
      </c>
      <c r="E21" s="29">
        <v>9.0</v>
      </c>
      <c r="F21" s="22" t="s">
        <v>51</v>
      </c>
      <c r="G21" s="29">
        <v>2025.0</v>
      </c>
      <c r="H21" s="29">
        <v>200.0</v>
      </c>
      <c r="I21" s="29">
        <v>50.0</v>
      </c>
    </row>
    <row r="22" ht="22.5" customHeight="1">
      <c r="A22" s="22" t="str">
        <f t="shared" si="1"/>
        <v>231/25/9/SUKJ/2025</v>
      </c>
      <c r="B22" s="46">
        <v>45925.0</v>
      </c>
      <c r="C22" s="29">
        <v>231.0</v>
      </c>
      <c r="D22" s="29">
        <v>25.0</v>
      </c>
      <c r="E22" s="29">
        <v>9.0</v>
      </c>
      <c r="F22" s="22" t="s">
        <v>51</v>
      </c>
      <c r="G22" s="29">
        <v>2025.0</v>
      </c>
      <c r="H22" s="29">
        <v>148.0</v>
      </c>
      <c r="I22" s="29">
        <v>36.0</v>
      </c>
    </row>
    <row r="23" ht="22.5" customHeight="1">
      <c r="A23" s="22" t="str">
        <f t="shared" si="1"/>
        <v>232/26/9/SUKJ/2025</v>
      </c>
      <c r="B23" s="46">
        <v>45926.0</v>
      </c>
      <c r="C23" s="29">
        <v>232.0</v>
      </c>
      <c r="D23" s="29">
        <v>26.0</v>
      </c>
      <c r="E23" s="29">
        <v>9.0</v>
      </c>
      <c r="F23" s="22" t="s">
        <v>51</v>
      </c>
      <c r="G23" s="29">
        <v>2025.0</v>
      </c>
      <c r="H23" s="43"/>
      <c r="I23" s="43"/>
    </row>
    <row r="24" ht="22.5" customHeight="1">
      <c r="A24" s="22" t="str">
        <f t="shared" si="1"/>
        <v>233/27/9/SUKJ/2025</v>
      </c>
      <c r="B24" s="46">
        <v>45927.0</v>
      </c>
      <c r="C24" s="29">
        <v>233.0</v>
      </c>
      <c r="D24" s="29">
        <v>27.0</v>
      </c>
      <c r="E24" s="29">
        <v>9.0</v>
      </c>
      <c r="F24" s="22" t="s">
        <v>51</v>
      </c>
      <c r="G24" s="29">
        <v>2025.0</v>
      </c>
      <c r="H24" s="43"/>
      <c r="I24" s="43"/>
    </row>
    <row r="25" ht="22.5" customHeight="1">
      <c r="A25" s="22" t="str">
        <f t="shared" si="1"/>
        <v>234/28/9/SUKJ/2025</v>
      </c>
      <c r="B25" s="46">
        <v>45928.0</v>
      </c>
      <c r="C25" s="29">
        <v>234.0</v>
      </c>
      <c r="D25" s="29">
        <v>28.0</v>
      </c>
      <c r="E25" s="29">
        <v>9.0</v>
      </c>
      <c r="F25" s="22" t="s">
        <v>51</v>
      </c>
      <c r="G25" s="29">
        <v>2025.0</v>
      </c>
      <c r="H25" s="43"/>
      <c r="I25" s="43"/>
    </row>
    <row r="26" ht="22.5" customHeight="1">
      <c r="A26" s="22" t="str">
        <f t="shared" si="1"/>
        <v>235/30/9/SUKJ/2025</v>
      </c>
      <c r="B26" s="46">
        <v>45930.0</v>
      </c>
      <c r="C26" s="29">
        <v>235.0</v>
      </c>
      <c r="D26" s="29">
        <v>30.0</v>
      </c>
      <c r="E26" s="29">
        <v>9.0</v>
      </c>
      <c r="F26" s="22" t="s">
        <v>51</v>
      </c>
      <c r="G26" s="29">
        <v>2025.0</v>
      </c>
      <c r="H26" s="43"/>
      <c r="I26" s="43"/>
    </row>
  </sheetData>
  <mergeCells count="1">
    <mergeCell ref="L7:O7"/>
  </mergeCells>
  <dataValidations>
    <dataValidation type="custom" allowBlank="1" showDropDown="1" sqref="C2:E26 G2:I2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6.88"/>
    <col customWidth="1" min="5" max="5" width="15.25"/>
  </cols>
  <sheetData>
    <row r="1">
      <c r="B1" s="101"/>
    </row>
    <row r="2">
      <c r="B2" s="101"/>
      <c r="E2" s="102" t="s">
        <v>486</v>
      </c>
    </row>
    <row r="3">
      <c r="A3" s="104" t="s">
        <v>493</v>
      </c>
      <c r="B3" s="105">
        <v>45901.0</v>
      </c>
      <c r="C3" s="106" t="s">
        <v>509</v>
      </c>
    </row>
    <row r="4">
      <c r="A4" s="104" t="s">
        <v>513</v>
      </c>
      <c r="B4" s="105">
        <v>45902.0</v>
      </c>
      <c r="C4" s="106" t="s">
        <v>517</v>
      </c>
    </row>
    <row r="5">
      <c r="A5" s="104" t="s">
        <v>518</v>
      </c>
      <c r="B5" s="105">
        <v>45903.0</v>
      </c>
      <c r="C5" s="106" t="s">
        <v>521</v>
      </c>
    </row>
    <row r="6">
      <c r="A6" s="104" t="s">
        <v>522</v>
      </c>
      <c r="B6" s="105">
        <v>45904.0</v>
      </c>
      <c r="C6" s="106" t="s">
        <v>525</v>
      </c>
    </row>
    <row r="7">
      <c r="A7" s="104" t="s">
        <v>527</v>
      </c>
      <c r="B7" s="105">
        <v>45905.0</v>
      </c>
      <c r="C7" s="106" t="s">
        <v>529</v>
      </c>
    </row>
    <row r="8">
      <c r="A8" s="104" t="s">
        <v>532</v>
      </c>
      <c r="B8" s="108">
        <v>45906.0</v>
      </c>
    </row>
    <row r="9">
      <c r="A9" s="109" t="s">
        <v>539</v>
      </c>
      <c r="B9" s="108">
        <v>45907.0</v>
      </c>
    </row>
    <row r="10">
      <c r="A10" s="104" t="s">
        <v>548</v>
      </c>
      <c r="B10" s="108">
        <v>45908.0</v>
      </c>
    </row>
    <row r="11">
      <c r="A11" s="109" t="s">
        <v>549</v>
      </c>
      <c r="B11" s="108">
        <v>45909.0</v>
      </c>
    </row>
    <row r="12">
      <c r="A12" s="104" t="s">
        <v>553</v>
      </c>
      <c r="B12" s="108">
        <v>45910.0</v>
      </c>
    </row>
    <row r="13">
      <c r="A13" s="110" t="s">
        <v>556</v>
      </c>
      <c r="B13" s="108">
        <v>45911.0</v>
      </c>
    </row>
    <row r="14">
      <c r="A14" s="104" t="s">
        <v>560</v>
      </c>
      <c r="B14" s="108">
        <v>45912.0</v>
      </c>
    </row>
    <row r="15">
      <c r="A15" s="109" t="s">
        <v>563</v>
      </c>
      <c r="B15" s="108">
        <v>45913.0</v>
      </c>
    </row>
    <row r="16">
      <c r="A16" s="104" t="s">
        <v>564</v>
      </c>
      <c r="B16" s="108">
        <v>45914.0</v>
      </c>
    </row>
    <row r="17">
      <c r="A17" s="109" t="s">
        <v>567</v>
      </c>
      <c r="B17" s="108">
        <v>45915.0</v>
      </c>
    </row>
    <row r="18">
      <c r="A18" s="109" t="s">
        <v>569</v>
      </c>
      <c r="B18" s="108">
        <v>45916.0</v>
      </c>
    </row>
    <row r="19">
      <c r="A19" s="109" t="s">
        <v>570</v>
      </c>
      <c r="B19" s="108">
        <v>45917.0</v>
      </c>
    </row>
    <row r="20">
      <c r="A20" s="109" t="s">
        <v>571</v>
      </c>
      <c r="B20" s="108">
        <v>45918.0</v>
      </c>
    </row>
    <row r="21">
      <c r="A21" s="109" t="s">
        <v>573</v>
      </c>
      <c r="B21" s="108">
        <v>45919.0</v>
      </c>
    </row>
    <row r="22">
      <c r="A22" s="109" t="s">
        <v>574</v>
      </c>
      <c r="B22" s="108">
        <v>45920.0</v>
      </c>
    </row>
    <row r="23">
      <c r="A23" s="109" t="s">
        <v>575</v>
      </c>
      <c r="B23" s="108">
        <v>45921.0</v>
      </c>
    </row>
    <row r="24">
      <c r="A24" s="109" t="s">
        <v>576</v>
      </c>
      <c r="B24" s="108">
        <v>45922.0</v>
      </c>
    </row>
    <row r="25">
      <c r="A25" s="109" t="s">
        <v>579</v>
      </c>
      <c r="B25" s="108">
        <v>45923.0</v>
      </c>
    </row>
    <row r="26">
      <c r="A26" s="109" t="s">
        <v>581</v>
      </c>
      <c r="B26" s="108">
        <v>45924.0</v>
      </c>
    </row>
    <row r="27">
      <c r="A27" s="109" t="s">
        <v>582</v>
      </c>
      <c r="B27" s="108">
        <v>45925.0</v>
      </c>
    </row>
    <row r="28">
      <c r="A28" s="109" t="s">
        <v>583</v>
      </c>
      <c r="B28" s="108">
        <v>45926.0</v>
      </c>
    </row>
    <row r="29">
      <c r="A29" s="109" t="s">
        <v>586</v>
      </c>
      <c r="B29" s="108">
        <v>45927.0</v>
      </c>
    </row>
    <row r="30">
      <c r="A30" s="109" t="s">
        <v>587</v>
      </c>
      <c r="B30" s="108">
        <v>45928.0</v>
      </c>
    </row>
    <row r="31">
      <c r="A31" s="109" t="s">
        <v>588</v>
      </c>
      <c r="B31" s="108">
        <v>45929.0</v>
      </c>
    </row>
    <row r="32">
      <c r="A32" s="109" t="s">
        <v>591</v>
      </c>
      <c r="B32" s="108">
        <v>45930.0</v>
      </c>
    </row>
    <row r="33">
      <c r="A33" s="104" t="s">
        <v>594</v>
      </c>
      <c r="B33" s="108"/>
    </row>
    <row r="34">
      <c r="A34" s="109" t="s">
        <v>596</v>
      </c>
      <c r="B34" s="108"/>
    </row>
    <row r="35">
      <c r="A35" s="104" t="s">
        <v>600</v>
      </c>
      <c r="B35" s="108"/>
    </row>
    <row r="36">
      <c r="A36" s="109" t="s">
        <v>602</v>
      </c>
      <c r="B36" s="108"/>
    </row>
    <row r="37">
      <c r="A37" s="104" t="s">
        <v>605</v>
      </c>
      <c r="B37" s="108"/>
    </row>
    <row r="38">
      <c r="B38" s="114"/>
    </row>
    <row r="39">
      <c r="B39" s="101"/>
    </row>
    <row r="40">
      <c r="B40" s="101"/>
    </row>
    <row r="41">
      <c r="B41" s="101"/>
    </row>
    <row r="42">
      <c r="B42" s="101"/>
    </row>
    <row r="43">
      <c r="B43" s="101"/>
    </row>
    <row r="44">
      <c r="B44" s="101"/>
    </row>
    <row r="45">
      <c r="B45" s="101"/>
    </row>
    <row r="46">
      <c r="B46" s="101"/>
    </row>
    <row r="47">
      <c r="B47" s="101"/>
    </row>
    <row r="48">
      <c r="B48" s="101"/>
    </row>
    <row r="49">
      <c r="B49" s="101"/>
    </row>
    <row r="50">
      <c r="B50" s="101"/>
    </row>
    <row r="51">
      <c r="B51" s="101"/>
    </row>
    <row r="52">
      <c r="B52" s="101"/>
    </row>
    <row r="53">
      <c r="B53" s="101"/>
    </row>
    <row r="54">
      <c r="B54" s="101"/>
    </row>
    <row r="55">
      <c r="B55" s="101"/>
    </row>
    <row r="56">
      <c r="B56" s="101"/>
    </row>
    <row r="57">
      <c r="B57" s="101"/>
    </row>
    <row r="58">
      <c r="B58" s="101"/>
    </row>
    <row r="59">
      <c r="B59" s="101"/>
    </row>
    <row r="60">
      <c r="B60" s="101"/>
    </row>
    <row r="61">
      <c r="B61" s="101"/>
    </row>
    <row r="62">
      <c r="B62" s="101"/>
    </row>
    <row r="63">
      <c r="B63" s="101"/>
    </row>
    <row r="64">
      <c r="B64" s="101"/>
    </row>
    <row r="65">
      <c r="B65" s="101"/>
    </row>
    <row r="66">
      <c r="B66" s="101"/>
    </row>
    <row r="67">
      <c r="B67" s="101"/>
    </row>
    <row r="68">
      <c r="B68" s="101"/>
    </row>
    <row r="69">
      <c r="B69" s="101"/>
    </row>
    <row r="70">
      <c r="B70" s="101"/>
    </row>
    <row r="71">
      <c r="B71" s="101"/>
    </row>
    <row r="72">
      <c r="B72" s="101"/>
    </row>
    <row r="73">
      <c r="B73" s="101"/>
    </row>
    <row r="74">
      <c r="B74" s="101"/>
    </row>
    <row r="75">
      <c r="B75" s="101"/>
    </row>
    <row r="76">
      <c r="B76" s="101"/>
    </row>
    <row r="77">
      <c r="B77" s="101"/>
    </row>
    <row r="78">
      <c r="B78" s="101"/>
    </row>
    <row r="79">
      <c r="B79" s="101"/>
    </row>
    <row r="80">
      <c r="B80" s="101"/>
    </row>
    <row r="81">
      <c r="B81" s="101"/>
    </row>
    <row r="82">
      <c r="B82" s="101"/>
    </row>
    <row r="83">
      <c r="B83" s="101"/>
    </row>
    <row r="84">
      <c r="B84" s="101"/>
    </row>
    <row r="85">
      <c r="B85" s="101"/>
    </row>
    <row r="86">
      <c r="B86" s="101"/>
    </row>
    <row r="87">
      <c r="B87" s="101"/>
    </row>
    <row r="88">
      <c r="B88" s="101"/>
    </row>
    <row r="89">
      <c r="B89" s="101"/>
    </row>
    <row r="90">
      <c r="B90" s="101"/>
    </row>
    <row r="91">
      <c r="B91" s="101"/>
    </row>
    <row r="92">
      <c r="B92" s="101"/>
    </row>
    <row r="93">
      <c r="B93" s="101"/>
    </row>
    <row r="94">
      <c r="B94" s="101"/>
    </row>
    <row r="95">
      <c r="B95" s="101"/>
    </row>
    <row r="96">
      <c r="B96" s="101"/>
    </row>
    <row r="97">
      <c r="B97" s="101"/>
    </row>
    <row r="98">
      <c r="B98" s="101"/>
    </row>
    <row r="99">
      <c r="B99" s="101"/>
    </row>
    <row r="100">
      <c r="B100" s="101"/>
    </row>
    <row r="101">
      <c r="B101" s="101"/>
    </row>
    <row r="102">
      <c r="B102" s="101"/>
    </row>
    <row r="103">
      <c r="B103" s="101"/>
    </row>
    <row r="104">
      <c r="B104" s="101"/>
    </row>
    <row r="105">
      <c r="B105" s="101"/>
    </row>
    <row r="106">
      <c r="B106" s="101"/>
    </row>
    <row r="107">
      <c r="B107" s="101"/>
    </row>
    <row r="108">
      <c r="B108" s="101"/>
    </row>
    <row r="109">
      <c r="B109" s="101"/>
    </row>
    <row r="110">
      <c r="B110" s="101"/>
    </row>
    <row r="111">
      <c r="B111" s="101"/>
    </row>
    <row r="112">
      <c r="B112" s="101"/>
    </row>
    <row r="113">
      <c r="B113" s="101"/>
    </row>
    <row r="114">
      <c r="B114" s="101"/>
    </row>
    <row r="115">
      <c r="B115" s="101"/>
    </row>
    <row r="116">
      <c r="B116" s="101"/>
    </row>
    <row r="117">
      <c r="B117" s="101"/>
    </row>
    <row r="118">
      <c r="B118" s="101"/>
    </row>
    <row r="119">
      <c r="B119" s="101"/>
    </row>
    <row r="120">
      <c r="B120" s="101"/>
    </row>
    <row r="121">
      <c r="B121" s="101"/>
    </row>
    <row r="122">
      <c r="B122" s="101"/>
    </row>
    <row r="123">
      <c r="B123" s="101"/>
    </row>
    <row r="124">
      <c r="B124" s="101"/>
    </row>
    <row r="125">
      <c r="B125" s="101"/>
    </row>
    <row r="126">
      <c r="B126" s="101"/>
    </row>
    <row r="127">
      <c r="B127" s="101"/>
    </row>
    <row r="128">
      <c r="B128" s="101"/>
    </row>
    <row r="129">
      <c r="B129" s="101"/>
    </row>
    <row r="130">
      <c r="B130" s="101"/>
    </row>
    <row r="131">
      <c r="B131" s="101"/>
    </row>
    <row r="132">
      <c r="B132" s="101"/>
    </row>
    <row r="133">
      <c r="B133" s="101"/>
    </row>
    <row r="134">
      <c r="B134" s="101"/>
    </row>
    <row r="135">
      <c r="B135" s="101"/>
    </row>
    <row r="136">
      <c r="B136" s="101"/>
    </row>
    <row r="137">
      <c r="B137" s="101"/>
    </row>
    <row r="138">
      <c r="B138" s="101"/>
    </row>
    <row r="139">
      <c r="B139" s="101"/>
    </row>
    <row r="140">
      <c r="B140" s="101"/>
    </row>
    <row r="141">
      <c r="B141" s="101"/>
    </row>
    <row r="142">
      <c r="B142" s="101"/>
    </row>
    <row r="143">
      <c r="B143" s="101"/>
    </row>
    <row r="144">
      <c r="B144" s="101"/>
    </row>
    <row r="145">
      <c r="B145" s="101"/>
    </row>
    <row r="146">
      <c r="B146" s="101"/>
    </row>
    <row r="147">
      <c r="B147" s="101"/>
    </row>
    <row r="148">
      <c r="B148" s="101"/>
    </row>
    <row r="149">
      <c r="B149" s="101"/>
    </row>
    <row r="150">
      <c r="B150" s="101"/>
    </row>
    <row r="151">
      <c r="B151" s="101"/>
    </row>
    <row r="152">
      <c r="B152" s="101"/>
    </row>
    <row r="153">
      <c r="B153" s="101"/>
    </row>
    <row r="154">
      <c r="B154" s="101"/>
    </row>
    <row r="155">
      <c r="B155" s="101"/>
    </row>
    <row r="156">
      <c r="B156" s="101"/>
    </row>
    <row r="157">
      <c r="B157" s="101"/>
    </row>
    <row r="158">
      <c r="B158" s="101"/>
    </row>
    <row r="159">
      <c r="B159" s="101"/>
    </row>
    <row r="160">
      <c r="B160" s="101"/>
    </row>
    <row r="161">
      <c r="B161" s="101"/>
    </row>
    <row r="162">
      <c r="B162" s="101"/>
    </row>
    <row r="163">
      <c r="B163" s="101"/>
    </row>
    <row r="164">
      <c r="B164" s="101"/>
    </row>
    <row r="165">
      <c r="B165" s="101"/>
    </row>
    <row r="166">
      <c r="B166" s="101"/>
    </row>
    <row r="167">
      <c r="B167" s="101"/>
    </row>
    <row r="168">
      <c r="B168" s="101"/>
    </row>
    <row r="169">
      <c r="B169" s="101"/>
    </row>
    <row r="170">
      <c r="B170" s="101"/>
    </row>
    <row r="171">
      <c r="B171" s="101"/>
    </row>
    <row r="172">
      <c r="B172" s="101"/>
    </row>
    <row r="173">
      <c r="B173" s="101"/>
    </row>
    <row r="174">
      <c r="B174" s="101"/>
    </row>
    <row r="175">
      <c r="B175" s="101"/>
    </row>
    <row r="176">
      <c r="B176" s="101"/>
    </row>
    <row r="177">
      <c r="B177" s="101"/>
    </row>
    <row r="178">
      <c r="B178" s="101"/>
    </row>
    <row r="179">
      <c r="B179" s="101"/>
    </row>
    <row r="180">
      <c r="B180" s="101"/>
    </row>
    <row r="181">
      <c r="B181" s="101"/>
    </row>
    <row r="182">
      <c r="B182" s="101"/>
    </row>
    <row r="183">
      <c r="B183" s="101"/>
    </row>
    <row r="184">
      <c r="B184" s="101"/>
    </row>
    <row r="185">
      <c r="B185" s="101"/>
    </row>
    <row r="186">
      <c r="B186" s="101"/>
    </row>
    <row r="187">
      <c r="B187" s="101"/>
    </row>
    <row r="188">
      <c r="B188" s="101"/>
    </row>
    <row r="189">
      <c r="B189" s="101"/>
    </row>
    <row r="190">
      <c r="B190" s="101"/>
    </row>
    <row r="191">
      <c r="B191" s="101"/>
    </row>
    <row r="192">
      <c r="B192" s="101"/>
    </row>
    <row r="193">
      <c r="B193" s="101"/>
    </row>
    <row r="194">
      <c r="B194" s="101"/>
    </row>
    <row r="195">
      <c r="B195" s="101"/>
    </row>
    <row r="196">
      <c r="B196" s="101"/>
    </row>
    <row r="197">
      <c r="B197" s="101"/>
    </row>
    <row r="198">
      <c r="B198" s="101"/>
    </row>
    <row r="199">
      <c r="B199" s="101"/>
    </row>
    <row r="200">
      <c r="B200" s="101"/>
    </row>
    <row r="201">
      <c r="B201" s="101"/>
    </row>
    <row r="202">
      <c r="B202" s="101"/>
    </row>
    <row r="203">
      <c r="B203" s="101"/>
    </row>
    <row r="204">
      <c r="B204" s="101"/>
    </row>
    <row r="205">
      <c r="B205" s="101"/>
    </row>
    <row r="206">
      <c r="B206" s="101"/>
    </row>
    <row r="207">
      <c r="B207" s="101"/>
    </row>
    <row r="208">
      <c r="B208" s="101"/>
    </row>
    <row r="209">
      <c r="B209" s="101"/>
    </row>
    <row r="210">
      <c r="B210" s="101"/>
    </row>
    <row r="211">
      <c r="B211" s="101"/>
    </row>
    <row r="212">
      <c r="B212" s="101"/>
    </row>
    <row r="213">
      <c r="B213" s="101"/>
    </row>
    <row r="214">
      <c r="B214" s="101"/>
    </row>
    <row r="215">
      <c r="B215" s="101"/>
    </row>
    <row r="216">
      <c r="B216" s="101"/>
    </row>
    <row r="217">
      <c r="B217" s="101"/>
    </row>
    <row r="218">
      <c r="B218" s="101"/>
    </row>
    <row r="219">
      <c r="B219" s="101"/>
    </row>
    <row r="220">
      <c r="B220" s="101"/>
    </row>
    <row r="221">
      <c r="B221" s="101"/>
    </row>
    <row r="222">
      <c r="B222" s="101"/>
    </row>
    <row r="223">
      <c r="B223" s="101"/>
    </row>
    <row r="224">
      <c r="B224" s="101"/>
    </row>
    <row r="225">
      <c r="B225" s="101"/>
    </row>
    <row r="226">
      <c r="B226" s="101"/>
    </row>
    <row r="227">
      <c r="B227" s="101"/>
    </row>
    <row r="228">
      <c r="B228" s="101"/>
    </row>
    <row r="229">
      <c r="B229" s="101"/>
    </row>
    <row r="230">
      <c r="B230" s="101"/>
    </row>
    <row r="231">
      <c r="B231" s="101"/>
    </row>
    <row r="232">
      <c r="B232" s="101"/>
    </row>
    <row r="233">
      <c r="B233" s="101"/>
    </row>
    <row r="234">
      <c r="B234" s="101"/>
    </row>
    <row r="235">
      <c r="B235" s="101"/>
    </row>
    <row r="236">
      <c r="B236" s="101"/>
    </row>
    <row r="237">
      <c r="B237" s="101"/>
    </row>
    <row r="238">
      <c r="B238" s="101"/>
    </row>
    <row r="239">
      <c r="B239" s="101"/>
    </row>
    <row r="240">
      <c r="B240" s="101"/>
    </row>
    <row r="241">
      <c r="B241" s="101"/>
    </row>
    <row r="242">
      <c r="B242" s="101"/>
    </row>
    <row r="243">
      <c r="B243" s="101"/>
    </row>
    <row r="244">
      <c r="B244" s="101"/>
    </row>
    <row r="245">
      <c r="B245" s="101"/>
    </row>
    <row r="246">
      <c r="B246" s="101"/>
    </row>
    <row r="247">
      <c r="B247" s="101"/>
    </row>
    <row r="248">
      <c r="B248" s="101"/>
    </row>
    <row r="249">
      <c r="B249" s="101"/>
    </row>
    <row r="250">
      <c r="B250" s="101"/>
    </row>
    <row r="251">
      <c r="B251" s="101"/>
    </row>
    <row r="252">
      <c r="B252" s="101"/>
    </row>
    <row r="253">
      <c r="B253" s="101"/>
    </row>
    <row r="254">
      <c r="B254" s="101"/>
    </row>
    <row r="255">
      <c r="B255" s="101"/>
    </row>
    <row r="256">
      <c r="B256" s="101"/>
    </row>
    <row r="257">
      <c r="B257" s="101"/>
    </row>
    <row r="258">
      <c r="B258" s="101"/>
    </row>
    <row r="259">
      <c r="B259" s="101"/>
    </row>
    <row r="260">
      <c r="B260" s="101"/>
    </row>
    <row r="261">
      <c r="B261" s="101"/>
    </row>
    <row r="262">
      <c r="B262" s="101"/>
    </row>
    <row r="263">
      <c r="B263" s="101"/>
    </row>
    <row r="264">
      <c r="B264" s="101"/>
    </row>
    <row r="265">
      <c r="B265" s="101"/>
    </row>
    <row r="266">
      <c r="B266" s="101"/>
    </row>
    <row r="267">
      <c r="B267" s="101"/>
    </row>
    <row r="268">
      <c r="B268" s="101"/>
    </row>
    <row r="269">
      <c r="B269" s="101"/>
    </row>
    <row r="270">
      <c r="B270" s="101"/>
    </row>
    <row r="271">
      <c r="B271" s="101"/>
    </row>
    <row r="272">
      <c r="B272" s="101"/>
    </row>
    <row r="273">
      <c r="B273" s="101"/>
    </row>
    <row r="274">
      <c r="B274" s="101"/>
    </row>
    <row r="275">
      <c r="B275" s="101"/>
    </row>
    <row r="276">
      <c r="B276" s="101"/>
    </row>
    <row r="277">
      <c r="B277" s="101"/>
    </row>
    <row r="278">
      <c r="B278" s="101"/>
    </row>
    <row r="279">
      <c r="B279" s="101"/>
    </row>
    <row r="280">
      <c r="B280" s="101"/>
    </row>
    <row r="281">
      <c r="B281" s="101"/>
    </row>
    <row r="282">
      <c r="B282" s="101"/>
    </row>
    <row r="283">
      <c r="B283" s="101"/>
    </row>
    <row r="284">
      <c r="B284" s="101"/>
    </row>
    <row r="285">
      <c r="B285" s="101"/>
    </row>
    <row r="286">
      <c r="B286" s="101"/>
    </row>
    <row r="287">
      <c r="B287" s="101"/>
    </row>
    <row r="288">
      <c r="B288" s="101"/>
    </row>
    <row r="289">
      <c r="B289" s="101"/>
    </row>
    <row r="290">
      <c r="B290" s="101"/>
    </row>
    <row r="291">
      <c r="B291" s="101"/>
    </row>
    <row r="292">
      <c r="B292" s="101"/>
    </row>
    <row r="293">
      <c r="B293" s="101"/>
    </row>
    <row r="294">
      <c r="B294" s="101"/>
    </row>
    <row r="295">
      <c r="B295" s="101"/>
    </row>
    <row r="296">
      <c r="B296" s="101"/>
    </row>
    <row r="297">
      <c r="B297" s="101"/>
    </row>
    <row r="298">
      <c r="B298" s="101"/>
    </row>
    <row r="299">
      <c r="B299" s="101"/>
    </row>
    <row r="300">
      <c r="B300" s="101"/>
    </row>
    <row r="301">
      <c r="B301" s="101"/>
    </row>
    <row r="302">
      <c r="B302" s="101"/>
    </row>
    <row r="303">
      <c r="B303" s="101"/>
    </row>
    <row r="304">
      <c r="B304" s="101"/>
    </row>
    <row r="305">
      <c r="B305" s="101"/>
    </row>
    <row r="306">
      <c r="B306" s="101"/>
    </row>
    <row r="307">
      <c r="B307" s="101"/>
    </row>
    <row r="308">
      <c r="B308" s="101"/>
    </row>
    <row r="309">
      <c r="B309" s="101"/>
    </row>
    <row r="310">
      <c r="B310" s="101"/>
    </row>
    <row r="311">
      <c r="B311" s="101"/>
    </row>
    <row r="312">
      <c r="B312" s="101"/>
    </row>
    <row r="313">
      <c r="B313" s="101"/>
    </row>
    <row r="314">
      <c r="B314" s="101"/>
    </row>
    <row r="315">
      <c r="B315" s="101"/>
    </row>
    <row r="316">
      <c r="B316" s="101"/>
    </row>
    <row r="317">
      <c r="B317" s="101"/>
    </row>
    <row r="318">
      <c r="B318" s="101"/>
    </row>
    <row r="319">
      <c r="B319" s="101"/>
    </row>
    <row r="320">
      <c r="B320" s="101"/>
    </row>
    <row r="321">
      <c r="B321" s="101"/>
    </row>
    <row r="322">
      <c r="B322" s="101"/>
    </row>
    <row r="323">
      <c r="B323" s="101"/>
    </row>
    <row r="324">
      <c r="B324" s="101"/>
    </row>
    <row r="325">
      <c r="B325" s="101"/>
    </row>
    <row r="326">
      <c r="B326" s="101"/>
    </row>
    <row r="327">
      <c r="B327" s="101"/>
    </row>
    <row r="328">
      <c r="B328" s="101"/>
    </row>
    <row r="329">
      <c r="B329" s="101"/>
    </row>
    <row r="330">
      <c r="B330" s="101"/>
    </row>
    <row r="331">
      <c r="B331" s="101"/>
    </row>
    <row r="332">
      <c r="B332" s="101"/>
    </row>
    <row r="333">
      <c r="B333" s="101"/>
    </row>
    <row r="334">
      <c r="B334" s="101"/>
    </row>
    <row r="335">
      <c r="B335" s="101"/>
    </row>
    <row r="336">
      <c r="B336" s="101"/>
    </row>
    <row r="337">
      <c r="B337" s="101"/>
    </row>
    <row r="338">
      <c r="B338" s="101"/>
    </row>
    <row r="339">
      <c r="B339" s="101"/>
    </row>
    <row r="340">
      <c r="B340" s="101"/>
    </row>
    <row r="341">
      <c r="B341" s="101"/>
    </row>
    <row r="342">
      <c r="B342" s="101"/>
    </row>
    <row r="343">
      <c r="B343" s="101"/>
    </row>
    <row r="344">
      <c r="B344" s="101"/>
    </row>
    <row r="345">
      <c r="B345" s="101"/>
    </row>
    <row r="346">
      <c r="B346" s="101"/>
    </row>
    <row r="347">
      <c r="B347" s="101"/>
    </row>
    <row r="348">
      <c r="B348" s="101"/>
    </row>
    <row r="349">
      <c r="B349" s="101"/>
    </row>
    <row r="350">
      <c r="B350" s="101"/>
    </row>
    <row r="351">
      <c r="B351" s="101"/>
    </row>
    <row r="352">
      <c r="B352" s="101"/>
    </row>
    <row r="353">
      <c r="B353" s="101"/>
    </row>
    <row r="354">
      <c r="B354" s="101"/>
    </row>
    <row r="355">
      <c r="B355" s="101"/>
    </row>
    <row r="356">
      <c r="B356" s="101"/>
    </row>
    <row r="357">
      <c r="B357" s="101"/>
    </row>
    <row r="358">
      <c r="B358" s="101"/>
    </row>
    <row r="359">
      <c r="B359" s="101"/>
    </row>
    <row r="360">
      <c r="B360" s="101"/>
    </row>
    <row r="361">
      <c r="B361" s="101"/>
    </row>
    <row r="362">
      <c r="B362" s="101"/>
    </row>
    <row r="363">
      <c r="B363" s="101"/>
    </row>
    <row r="364">
      <c r="B364" s="101"/>
    </row>
    <row r="365">
      <c r="B365" s="101"/>
    </row>
    <row r="366">
      <c r="B366" s="101"/>
    </row>
    <row r="367">
      <c r="B367" s="101"/>
    </row>
    <row r="368">
      <c r="B368" s="101"/>
    </row>
    <row r="369">
      <c r="B369" s="101"/>
    </row>
    <row r="370">
      <c r="B370" s="101"/>
    </row>
    <row r="371">
      <c r="B371" s="101"/>
    </row>
    <row r="372">
      <c r="B372" s="101"/>
    </row>
    <row r="373">
      <c r="B373" s="101"/>
    </row>
    <row r="374">
      <c r="B374" s="101"/>
    </row>
    <row r="375">
      <c r="B375" s="101"/>
    </row>
    <row r="376">
      <c r="B376" s="101"/>
    </row>
    <row r="377">
      <c r="B377" s="101"/>
    </row>
    <row r="378">
      <c r="B378" s="101"/>
    </row>
    <row r="379">
      <c r="B379" s="101"/>
    </row>
    <row r="380">
      <c r="B380" s="101"/>
    </row>
    <row r="381">
      <c r="B381" s="101"/>
    </row>
    <row r="382">
      <c r="B382" s="101"/>
    </row>
    <row r="383">
      <c r="B383" s="101"/>
    </row>
    <row r="384">
      <c r="B384" s="101"/>
    </row>
    <row r="385">
      <c r="B385" s="101"/>
    </row>
    <row r="386">
      <c r="B386" s="101"/>
    </row>
    <row r="387">
      <c r="B387" s="101"/>
    </row>
    <row r="388">
      <c r="B388" s="101"/>
    </row>
    <row r="389">
      <c r="B389" s="101"/>
    </row>
    <row r="390">
      <c r="B390" s="101"/>
    </row>
    <row r="391">
      <c r="B391" s="101"/>
    </row>
    <row r="392">
      <c r="B392" s="101"/>
    </row>
    <row r="393">
      <c r="B393" s="101"/>
    </row>
    <row r="394">
      <c r="B394" s="101"/>
    </row>
    <row r="395">
      <c r="B395" s="101"/>
    </row>
    <row r="396">
      <c r="B396" s="101"/>
    </row>
    <row r="397">
      <c r="B397" s="101"/>
    </row>
    <row r="398">
      <c r="B398" s="101"/>
    </row>
    <row r="399">
      <c r="B399" s="101"/>
    </row>
    <row r="400">
      <c r="B400" s="101"/>
    </row>
    <row r="401">
      <c r="B401" s="101"/>
    </row>
    <row r="402">
      <c r="B402" s="101"/>
    </row>
    <row r="403">
      <c r="B403" s="101"/>
    </row>
    <row r="404">
      <c r="B404" s="101"/>
    </row>
    <row r="405">
      <c r="B405" s="101"/>
    </row>
    <row r="406">
      <c r="B406" s="101"/>
    </row>
    <row r="407">
      <c r="B407" s="101"/>
    </row>
    <row r="408">
      <c r="B408" s="101"/>
    </row>
    <row r="409">
      <c r="B409" s="101"/>
    </row>
    <row r="410">
      <c r="B410" s="101"/>
    </row>
    <row r="411">
      <c r="B411" s="101"/>
    </row>
    <row r="412">
      <c r="B412" s="101"/>
    </row>
    <row r="413">
      <c r="B413" s="101"/>
    </row>
    <row r="414">
      <c r="B414" s="101"/>
    </row>
    <row r="415">
      <c r="B415" s="101"/>
    </row>
    <row r="416">
      <c r="B416" s="101"/>
    </row>
    <row r="417">
      <c r="B417" s="101"/>
    </row>
    <row r="418">
      <c r="B418" s="101"/>
    </row>
    <row r="419">
      <c r="B419" s="101"/>
    </row>
    <row r="420">
      <c r="B420" s="101"/>
    </row>
    <row r="421">
      <c r="B421" s="101"/>
    </row>
    <row r="422">
      <c r="B422" s="101"/>
    </row>
    <row r="423">
      <c r="B423" s="101"/>
    </row>
    <row r="424">
      <c r="B424" s="101"/>
    </row>
    <row r="425">
      <c r="B425" s="101"/>
    </row>
    <row r="426">
      <c r="B426" s="101"/>
    </row>
    <row r="427">
      <c r="B427" s="101"/>
    </row>
    <row r="428">
      <c r="B428" s="101"/>
    </row>
    <row r="429">
      <c r="B429" s="101"/>
    </row>
    <row r="430">
      <c r="B430" s="101"/>
    </row>
    <row r="431">
      <c r="B431" s="101"/>
    </row>
    <row r="432">
      <c r="B432" s="101"/>
    </row>
    <row r="433">
      <c r="B433" s="101"/>
    </row>
    <row r="434">
      <c r="B434" s="101"/>
    </row>
    <row r="435">
      <c r="B435" s="101"/>
    </row>
    <row r="436">
      <c r="B436" s="101"/>
    </row>
    <row r="437">
      <c r="B437" s="101"/>
    </row>
    <row r="438">
      <c r="B438" s="101"/>
    </row>
    <row r="439">
      <c r="B439" s="101"/>
    </row>
    <row r="440">
      <c r="B440" s="101"/>
    </row>
    <row r="441">
      <c r="B441" s="101"/>
    </row>
    <row r="442">
      <c r="B442" s="101"/>
    </row>
    <row r="443">
      <c r="B443" s="101"/>
    </row>
    <row r="444">
      <c r="B444" s="101"/>
    </row>
    <row r="445">
      <c r="B445" s="101"/>
    </row>
    <row r="446">
      <c r="B446" s="101"/>
    </row>
    <row r="447">
      <c r="B447" s="101"/>
    </row>
    <row r="448">
      <c r="B448" s="101"/>
    </row>
    <row r="449">
      <c r="B449" s="101"/>
    </row>
    <row r="450">
      <c r="B450" s="101"/>
    </row>
    <row r="451">
      <c r="B451" s="101"/>
    </row>
    <row r="452">
      <c r="B452" s="101"/>
    </row>
    <row r="453">
      <c r="B453" s="101"/>
    </row>
    <row r="454">
      <c r="B454" s="101"/>
    </row>
    <row r="455">
      <c r="B455" s="101"/>
    </row>
    <row r="456">
      <c r="B456" s="101"/>
    </row>
    <row r="457">
      <c r="B457" s="101"/>
    </row>
    <row r="458">
      <c r="B458" s="101"/>
    </row>
    <row r="459">
      <c r="B459" s="101"/>
    </row>
    <row r="460">
      <c r="B460" s="101"/>
    </row>
    <row r="461">
      <c r="B461" s="101"/>
    </row>
    <row r="462">
      <c r="B462" s="101"/>
    </row>
    <row r="463">
      <c r="B463" s="101"/>
    </row>
    <row r="464">
      <c r="B464" s="101"/>
    </row>
    <row r="465">
      <c r="B465" s="101"/>
    </row>
    <row r="466">
      <c r="B466" s="101"/>
    </row>
    <row r="467">
      <c r="B467" s="101"/>
    </row>
    <row r="468">
      <c r="B468" s="101"/>
    </row>
    <row r="469">
      <c r="B469" s="101"/>
    </row>
    <row r="470">
      <c r="B470" s="101"/>
    </row>
    <row r="471">
      <c r="B471" s="101"/>
    </row>
    <row r="472">
      <c r="B472" s="101"/>
    </row>
    <row r="473">
      <c r="B473" s="101"/>
    </row>
    <row r="474">
      <c r="B474" s="101"/>
    </row>
    <row r="475">
      <c r="B475" s="101"/>
    </row>
    <row r="476">
      <c r="B476" s="101"/>
    </row>
    <row r="477">
      <c r="B477" s="101"/>
    </row>
    <row r="478">
      <c r="B478" s="101"/>
    </row>
    <row r="479">
      <c r="B479" s="101"/>
    </row>
    <row r="480">
      <c r="B480" s="101"/>
    </row>
    <row r="481">
      <c r="B481" s="101"/>
    </row>
    <row r="482">
      <c r="B482" s="101"/>
    </row>
    <row r="483">
      <c r="B483" s="101"/>
    </row>
    <row r="484">
      <c r="B484" s="101"/>
    </row>
    <row r="485">
      <c r="B485" s="101"/>
    </row>
    <row r="486">
      <c r="B486" s="101"/>
    </row>
    <row r="487">
      <c r="B487" s="101"/>
    </row>
    <row r="488">
      <c r="B488" s="101"/>
    </row>
    <row r="489">
      <c r="B489" s="101"/>
    </row>
    <row r="490">
      <c r="B490" s="101"/>
    </row>
    <row r="491">
      <c r="B491" s="101"/>
    </row>
    <row r="492">
      <c r="B492" s="101"/>
    </row>
    <row r="493">
      <c r="B493" s="101"/>
    </row>
    <row r="494">
      <c r="B494" s="101"/>
    </row>
    <row r="495">
      <c r="B495" s="101"/>
    </row>
    <row r="496">
      <c r="B496" s="101"/>
    </row>
    <row r="497">
      <c r="B497" s="101"/>
    </row>
    <row r="498">
      <c r="B498" s="101"/>
    </row>
    <row r="499">
      <c r="B499" s="101"/>
    </row>
    <row r="500">
      <c r="B500" s="101"/>
    </row>
    <row r="501">
      <c r="B501" s="101"/>
    </row>
    <row r="502">
      <c r="B502" s="101"/>
    </row>
    <row r="503">
      <c r="B503" s="101"/>
    </row>
    <row r="504">
      <c r="B504" s="101"/>
    </row>
    <row r="505">
      <c r="B505" s="101"/>
    </row>
    <row r="506">
      <c r="B506" s="101"/>
    </row>
    <row r="507">
      <c r="B507" s="101"/>
    </row>
    <row r="508">
      <c r="B508" s="101"/>
    </row>
    <row r="509">
      <c r="B509" s="101"/>
    </row>
    <row r="510">
      <c r="B510" s="101"/>
    </row>
    <row r="511">
      <c r="B511" s="101"/>
    </row>
    <row r="512">
      <c r="B512" s="101"/>
    </row>
    <row r="513">
      <c r="B513" s="101"/>
    </row>
    <row r="514">
      <c r="B514" s="101"/>
    </row>
    <row r="515">
      <c r="B515" s="101"/>
    </row>
    <row r="516">
      <c r="B516" s="101"/>
    </row>
    <row r="517">
      <c r="B517" s="101"/>
    </row>
    <row r="518">
      <c r="B518" s="101"/>
    </row>
    <row r="519">
      <c r="B519" s="101"/>
    </row>
    <row r="520">
      <c r="B520" s="101"/>
    </row>
    <row r="521">
      <c r="B521" s="101"/>
    </row>
    <row r="522">
      <c r="B522" s="101"/>
    </row>
    <row r="523">
      <c r="B523" s="101"/>
    </row>
    <row r="524">
      <c r="B524" s="101"/>
    </row>
    <row r="525">
      <c r="B525" s="101"/>
    </row>
    <row r="526">
      <c r="B526" s="101"/>
    </row>
    <row r="527">
      <c r="B527" s="101"/>
    </row>
    <row r="528">
      <c r="B528" s="101"/>
    </row>
    <row r="529">
      <c r="B529" s="101"/>
    </row>
    <row r="530">
      <c r="B530" s="101"/>
    </row>
    <row r="531">
      <c r="B531" s="101"/>
    </row>
    <row r="532">
      <c r="B532" s="101"/>
    </row>
    <row r="533">
      <c r="B533" s="101"/>
    </row>
    <row r="534">
      <c r="B534" s="101"/>
    </row>
    <row r="535">
      <c r="B535" s="101"/>
    </row>
    <row r="536">
      <c r="B536" s="101"/>
    </row>
    <row r="537">
      <c r="B537" s="101"/>
    </row>
    <row r="538">
      <c r="B538" s="101"/>
    </row>
    <row r="539">
      <c r="B539" s="101"/>
    </row>
    <row r="540">
      <c r="B540" s="101"/>
    </row>
    <row r="541">
      <c r="B541" s="101"/>
    </row>
    <row r="542">
      <c r="B542" s="101"/>
    </row>
    <row r="543">
      <c r="B543" s="101"/>
    </row>
    <row r="544">
      <c r="B544" s="101"/>
    </row>
    <row r="545">
      <c r="B545" s="101"/>
    </row>
    <row r="546">
      <c r="B546" s="101"/>
    </row>
    <row r="547">
      <c r="B547" s="101"/>
    </row>
    <row r="548">
      <c r="B548" s="101"/>
    </row>
    <row r="549">
      <c r="B549" s="101"/>
    </row>
    <row r="550">
      <c r="B550" s="101"/>
    </row>
    <row r="551">
      <c r="B551" s="101"/>
    </row>
    <row r="552">
      <c r="B552" s="101"/>
    </row>
    <row r="553">
      <c r="B553" s="101"/>
    </row>
    <row r="554">
      <c r="B554" s="101"/>
    </row>
    <row r="555">
      <c r="B555" s="101"/>
    </row>
    <row r="556">
      <c r="B556" s="101"/>
    </row>
    <row r="557">
      <c r="B557" s="101"/>
    </row>
    <row r="558">
      <c r="B558" s="101"/>
    </row>
    <row r="559">
      <c r="B559" s="101"/>
    </row>
    <row r="560">
      <c r="B560" s="101"/>
    </row>
    <row r="561">
      <c r="B561" s="101"/>
    </row>
    <row r="562">
      <c r="B562" s="101"/>
    </row>
    <row r="563">
      <c r="B563" s="101"/>
    </row>
    <row r="564">
      <c r="B564" s="101"/>
    </row>
    <row r="565">
      <c r="B565" s="101"/>
    </row>
    <row r="566">
      <c r="B566" s="101"/>
    </row>
    <row r="567">
      <c r="B567" s="101"/>
    </row>
    <row r="568">
      <c r="B568" s="101"/>
    </row>
    <row r="569">
      <c r="B569" s="101"/>
    </row>
    <row r="570">
      <c r="B570" s="101"/>
    </row>
    <row r="571">
      <c r="B571" s="101"/>
    </row>
    <row r="572">
      <c r="B572" s="101"/>
    </row>
    <row r="573">
      <c r="B573" s="101"/>
    </row>
    <row r="574">
      <c r="B574" s="101"/>
    </row>
    <row r="575">
      <c r="B575" s="101"/>
    </row>
    <row r="576">
      <c r="B576" s="101"/>
    </row>
    <row r="577">
      <c r="B577" s="101"/>
    </row>
    <row r="578">
      <c r="B578" s="101"/>
    </row>
    <row r="579">
      <c r="B579" s="101"/>
    </row>
    <row r="580">
      <c r="B580" s="101"/>
    </row>
    <row r="581">
      <c r="B581" s="101"/>
    </row>
    <row r="582">
      <c r="B582" s="101"/>
    </row>
    <row r="583">
      <c r="B583" s="101"/>
    </row>
    <row r="584">
      <c r="B584" s="101"/>
    </row>
    <row r="585">
      <c r="B585" s="101"/>
    </row>
    <row r="586">
      <c r="B586" s="101"/>
    </row>
    <row r="587">
      <c r="B587" s="101"/>
    </row>
    <row r="588">
      <c r="B588" s="101"/>
    </row>
    <row r="589">
      <c r="B589" s="101"/>
    </row>
    <row r="590">
      <c r="B590" s="101"/>
    </row>
    <row r="591">
      <c r="B591" s="101"/>
    </row>
    <row r="592">
      <c r="B592" s="101"/>
    </row>
    <row r="593">
      <c r="B593" s="101"/>
    </row>
    <row r="594">
      <c r="B594" s="101"/>
    </row>
    <row r="595">
      <c r="B595" s="101"/>
    </row>
    <row r="596">
      <c r="B596" s="101"/>
    </row>
    <row r="597">
      <c r="B597" s="101"/>
    </row>
    <row r="598">
      <c r="B598" s="101"/>
    </row>
    <row r="599">
      <c r="B599" s="101"/>
    </row>
    <row r="600">
      <c r="B600" s="101"/>
    </row>
    <row r="601">
      <c r="B601" s="101"/>
    </row>
    <row r="602">
      <c r="B602" s="101"/>
    </row>
    <row r="603">
      <c r="B603" s="101"/>
    </row>
    <row r="604">
      <c r="B604" s="101"/>
    </row>
    <row r="605">
      <c r="B605" s="101"/>
    </row>
    <row r="606">
      <c r="B606" s="101"/>
    </row>
    <row r="607">
      <c r="B607" s="101"/>
    </row>
    <row r="608">
      <c r="B608" s="101"/>
    </row>
    <row r="609">
      <c r="B609" s="101"/>
    </row>
    <row r="610">
      <c r="B610" s="101"/>
    </row>
    <row r="611">
      <c r="B611" s="101"/>
    </row>
    <row r="612">
      <c r="B612" s="101"/>
    </row>
    <row r="613">
      <c r="B613" s="101"/>
    </row>
    <row r="614">
      <c r="B614" s="101"/>
    </row>
    <row r="615">
      <c r="B615" s="101"/>
    </row>
    <row r="616">
      <c r="B616" s="101"/>
    </row>
    <row r="617">
      <c r="B617" s="101"/>
    </row>
    <row r="618">
      <c r="B618" s="101"/>
    </row>
    <row r="619">
      <c r="B619" s="101"/>
    </row>
    <row r="620">
      <c r="B620" s="101"/>
    </row>
    <row r="621">
      <c r="B621" s="101"/>
    </row>
    <row r="622">
      <c r="B622" s="101"/>
    </row>
    <row r="623">
      <c r="B623" s="101"/>
    </row>
    <row r="624">
      <c r="B624" s="101"/>
    </row>
    <row r="625">
      <c r="B625" s="101"/>
    </row>
    <row r="626">
      <c r="B626" s="101"/>
    </row>
    <row r="627">
      <c r="B627" s="101"/>
    </row>
    <row r="628">
      <c r="B628" s="101"/>
    </row>
    <row r="629">
      <c r="B629" s="101"/>
    </row>
    <row r="630">
      <c r="B630" s="101"/>
    </row>
    <row r="631">
      <c r="B631" s="101"/>
    </row>
    <row r="632">
      <c r="B632" s="101"/>
    </row>
    <row r="633">
      <c r="B633" s="101"/>
    </row>
    <row r="634">
      <c r="B634" s="101"/>
    </row>
    <row r="635">
      <c r="B635" s="101"/>
    </row>
    <row r="636">
      <c r="B636" s="101"/>
    </row>
    <row r="637">
      <c r="B637" s="101"/>
    </row>
    <row r="638">
      <c r="B638" s="101"/>
    </row>
    <row r="639">
      <c r="B639" s="101"/>
    </row>
    <row r="640">
      <c r="B640" s="101"/>
    </row>
    <row r="641">
      <c r="B641" s="101"/>
    </row>
    <row r="642">
      <c r="B642" s="101"/>
    </row>
    <row r="643">
      <c r="B643" s="101"/>
    </row>
    <row r="644">
      <c r="B644" s="101"/>
    </row>
    <row r="645">
      <c r="B645" s="101"/>
    </row>
    <row r="646">
      <c r="B646" s="101"/>
    </row>
    <row r="647">
      <c r="B647" s="101"/>
    </row>
    <row r="648">
      <c r="B648" s="101"/>
    </row>
    <row r="649">
      <c r="B649" s="101"/>
    </row>
    <row r="650">
      <c r="B650" s="101"/>
    </row>
    <row r="651">
      <c r="B651" s="101"/>
    </row>
    <row r="652">
      <c r="B652" s="101"/>
    </row>
    <row r="653">
      <c r="B653" s="101"/>
    </row>
    <row r="654">
      <c r="B654" s="101"/>
    </row>
    <row r="655">
      <c r="B655" s="101"/>
    </row>
    <row r="656">
      <c r="B656" s="101"/>
    </row>
    <row r="657">
      <c r="B657" s="101"/>
    </row>
    <row r="658">
      <c r="B658" s="101"/>
    </row>
    <row r="659">
      <c r="B659" s="101"/>
    </row>
    <row r="660">
      <c r="B660" s="101"/>
    </row>
    <row r="661">
      <c r="B661" s="101"/>
    </row>
    <row r="662">
      <c r="B662" s="101"/>
    </row>
    <row r="663">
      <c r="B663" s="101"/>
    </row>
    <row r="664">
      <c r="B664" s="101"/>
    </row>
    <row r="665">
      <c r="B665" s="101"/>
    </row>
    <row r="666">
      <c r="B666" s="101"/>
    </row>
    <row r="667">
      <c r="B667" s="101"/>
    </row>
    <row r="668">
      <c r="B668" s="101"/>
    </row>
    <row r="669">
      <c r="B669" s="101"/>
    </row>
    <row r="670">
      <c r="B670" s="101"/>
    </row>
    <row r="671">
      <c r="B671" s="101"/>
    </row>
    <row r="672">
      <c r="B672" s="101"/>
    </row>
    <row r="673">
      <c r="B673" s="101"/>
    </row>
    <row r="674">
      <c r="B674" s="101"/>
    </row>
    <row r="675">
      <c r="B675" s="101"/>
    </row>
    <row r="676">
      <c r="B676" s="101"/>
    </row>
    <row r="677">
      <c r="B677" s="101"/>
    </row>
    <row r="678">
      <c r="B678" s="101"/>
    </row>
    <row r="679">
      <c r="B679" s="101"/>
    </row>
    <row r="680">
      <c r="B680" s="101"/>
    </row>
    <row r="681">
      <c r="B681" s="101"/>
    </row>
    <row r="682">
      <c r="B682" s="101"/>
    </row>
    <row r="683">
      <c r="B683" s="101"/>
    </row>
    <row r="684">
      <c r="B684" s="101"/>
    </row>
    <row r="685">
      <c r="B685" s="101"/>
    </row>
    <row r="686">
      <c r="B686" s="101"/>
    </row>
    <row r="687">
      <c r="B687" s="101"/>
    </row>
    <row r="688">
      <c r="B688" s="101"/>
    </row>
    <row r="689">
      <c r="B689" s="101"/>
    </row>
    <row r="690">
      <c r="B690" s="101"/>
    </row>
    <row r="691">
      <c r="B691" s="101"/>
    </row>
    <row r="692">
      <c r="B692" s="101"/>
    </row>
    <row r="693">
      <c r="B693" s="101"/>
    </row>
    <row r="694">
      <c r="B694" s="101"/>
    </row>
    <row r="695">
      <c r="B695" s="101"/>
    </row>
    <row r="696">
      <c r="B696" s="101"/>
    </row>
    <row r="697">
      <c r="B697" s="101"/>
    </row>
    <row r="698">
      <c r="B698" s="101"/>
    </row>
    <row r="699">
      <c r="B699" s="101"/>
    </row>
    <row r="700">
      <c r="B700" s="101"/>
    </row>
    <row r="701">
      <c r="B701" s="101"/>
    </row>
    <row r="702">
      <c r="B702" s="101"/>
    </row>
    <row r="703">
      <c r="B703" s="101"/>
    </row>
    <row r="704">
      <c r="B704" s="101"/>
    </row>
    <row r="705">
      <c r="B705" s="101"/>
    </row>
    <row r="706">
      <c r="B706" s="101"/>
    </row>
    <row r="707">
      <c r="B707" s="101"/>
    </row>
    <row r="708">
      <c r="B708" s="101"/>
    </row>
    <row r="709">
      <c r="B709" s="101"/>
    </row>
    <row r="710">
      <c r="B710" s="101"/>
    </row>
    <row r="711">
      <c r="B711" s="101"/>
    </row>
    <row r="712">
      <c r="B712" s="101"/>
    </row>
    <row r="713">
      <c r="B713" s="101"/>
    </row>
    <row r="714">
      <c r="B714" s="101"/>
    </row>
    <row r="715">
      <c r="B715" s="101"/>
    </row>
    <row r="716">
      <c r="B716" s="101"/>
    </row>
    <row r="717">
      <c r="B717" s="101"/>
    </row>
    <row r="718">
      <c r="B718" s="101"/>
    </row>
    <row r="719">
      <c r="B719" s="101"/>
    </row>
    <row r="720">
      <c r="B720" s="101"/>
    </row>
    <row r="721">
      <c r="B721" s="101"/>
    </row>
    <row r="722">
      <c r="B722" s="101"/>
    </row>
    <row r="723">
      <c r="B723" s="101"/>
    </row>
    <row r="724">
      <c r="B724" s="101"/>
    </row>
    <row r="725">
      <c r="B725" s="101"/>
    </row>
    <row r="726">
      <c r="B726" s="101"/>
    </row>
    <row r="727">
      <c r="B727" s="101"/>
    </row>
    <row r="728">
      <c r="B728" s="101"/>
    </row>
    <row r="729">
      <c r="B729" s="101"/>
    </row>
    <row r="730">
      <c r="B730" s="101"/>
    </row>
    <row r="731">
      <c r="B731" s="101"/>
    </row>
    <row r="732">
      <c r="B732" s="101"/>
    </row>
    <row r="733">
      <c r="B733" s="101"/>
    </row>
    <row r="734">
      <c r="B734" s="101"/>
    </row>
    <row r="735">
      <c r="B735" s="101"/>
    </row>
    <row r="736">
      <c r="B736" s="101"/>
    </row>
    <row r="737">
      <c r="B737" s="101"/>
    </row>
    <row r="738">
      <c r="B738" s="101"/>
    </row>
    <row r="739">
      <c r="B739" s="101"/>
    </row>
    <row r="740">
      <c r="B740" s="101"/>
    </row>
    <row r="741">
      <c r="B741" s="101"/>
    </row>
    <row r="742">
      <c r="B742" s="101"/>
    </row>
    <row r="743">
      <c r="B743" s="101"/>
    </row>
    <row r="744">
      <c r="B744" s="101"/>
    </row>
    <row r="745">
      <c r="B745" s="101"/>
    </row>
    <row r="746">
      <c r="B746" s="101"/>
    </row>
    <row r="747">
      <c r="B747" s="101"/>
    </row>
    <row r="748">
      <c r="B748" s="101"/>
    </row>
    <row r="749">
      <c r="B749" s="101"/>
    </row>
    <row r="750">
      <c r="B750" s="101"/>
    </row>
    <row r="751">
      <c r="B751" s="101"/>
    </row>
    <row r="752">
      <c r="B752" s="101"/>
    </row>
    <row r="753">
      <c r="B753" s="101"/>
    </row>
    <row r="754">
      <c r="B754" s="101"/>
    </row>
    <row r="755">
      <c r="B755" s="101"/>
    </row>
    <row r="756">
      <c r="B756" s="101"/>
    </row>
    <row r="757">
      <c r="B757" s="101"/>
    </row>
    <row r="758">
      <c r="B758" s="101"/>
    </row>
    <row r="759">
      <c r="B759" s="101"/>
    </row>
    <row r="760">
      <c r="B760" s="101"/>
    </row>
    <row r="761">
      <c r="B761" s="101"/>
    </row>
    <row r="762">
      <c r="B762" s="101"/>
    </row>
    <row r="763">
      <c r="B763" s="101"/>
    </row>
    <row r="764">
      <c r="B764" s="101"/>
    </row>
    <row r="765">
      <c r="B765" s="101"/>
    </row>
    <row r="766">
      <c r="B766" s="101"/>
    </row>
    <row r="767">
      <c r="B767" s="101"/>
    </row>
    <row r="768">
      <c r="B768" s="101"/>
    </row>
    <row r="769">
      <c r="B769" s="101"/>
    </row>
    <row r="770">
      <c r="B770" s="101"/>
    </row>
    <row r="771">
      <c r="B771" s="101"/>
    </row>
    <row r="772">
      <c r="B772" s="101"/>
    </row>
    <row r="773">
      <c r="B773" s="101"/>
    </row>
    <row r="774">
      <c r="B774" s="101"/>
    </row>
    <row r="775">
      <c r="B775" s="101"/>
    </row>
    <row r="776">
      <c r="B776" s="101"/>
    </row>
    <row r="777">
      <c r="B777" s="101"/>
    </row>
    <row r="778">
      <c r="B778" s="101"/>
    </row>
    <row r="779">
      <c r="B779" s="101"/>
    </row>
    <row r="780">
      <c r="B780" s="101"/>
    </row>
    <row r="781">
      <c r="B781" s="101"/>
    </row>
    <row r="782">
      <c r="B782" s="101"/>
    </row>
    <row r="783">
      <c r="B783" s="101"/>
    </row>
    <row r="784">
      <c r="B784" s="101"/>
    </row>
    <row r="785">
      <c r="B785" s="101"/>
    </row>
    <row r="786">
      <c r="B786" s="101"/>
    </row>
    <row r="787">
      <c r="B787" s="101"/>
    </row>
    <row r="788">
      <c r="B788" s="101"/>
    </row>
    <row r="789">
      <c r="B789" s="101"/>
    </row>
    <row r="790">
      <c r="B790" s="101"/>
    </row>
    <row r="791">
      <c r="B791" s="101"/>
    </row>
    <row r="792">
      <c r="B792" s="101"/>
    </row>
    <row r="793">
      <c r="B793" s="101"/>
    </row>
    <row r="794">
      <c r="B794" s="101"/>
    </row>
    <row r="795">
      <c r="B795" s="101"/>
    </row>
    <row r="796">
      <c r="B796" s="101"/>
    </row>
    <row r="797">
      <c r="B797" s="101"/>
    </row>
    <row r="798">
      <c r="B798" s="101"/>
    </row>
    <row r="799">
      <c r="B799" s="101"/>
    </row>
    <row r="800">
      <c r="B800" s="101"/>
    </row>
    <row r="801">
      <c r="B801" s="101"/>
    </row>
    <row r="802">
      <c r="B802" s="101"/>
    </row>
    <row r="803">
      <c r="B803" s="101"/>
    </row>
    <row r="804">
      <c r="B804" s="101"/>
    </row>
    <row r="805">
      <c r="B805" s="101"/>
    </row>
    <row r="806">
      <c r="B806" s="101"/>
    </row>
    <row r="807">
      <c r="B807" s="101"/>
    </row>
    <row r="808">
      <c r="B808" s="101"/>
    </row>
    <row r="809">
      <c r="B809" s="101"/>
    </row>
    <row r="810">
      <c r="B810" s="101"/>
    </row>
    <row r="811">
      <c r="B811" s="101"/>
    </row>
    <row r="812">
      <c r="B812" s="101"/>
    </row>
    <row r="813">
      <c r="B813" s="101"/>
    </row>
    <row r="814">
      <c r="B814" s="101"/>
    </row>
    <row r="815">
      <c r="B815" s="101"/>
    </row>
    <row r="816">
      <c r="B816" s="101"/>
    </row>
    <row r="817">
      <c r="B817" s="101"/>
    </row>
    <row r="818">
      <c r="B818" s="101"/>
    </row>
    <row r="819">
      <c r="B819" s="101"/>
    </row>
    <row r="820">
      <c r="B820" s="101"/>
    </row>
    <row r="821">
      <c r="B821" s="101"/>
    </row>
    <row r="822">
      <c r="B822" s="101"/>
    </row>
    <row r="823">
      <c r="B823" s="101"/>
    </row>
    <row r="824">
      <c r="B824" s="101"/>
    </row>
    <row r="825">
      <c r="B825" s="101"/>
    </row>
    <row r="826">
      <c r="B826" s="101"/>
    </row>
    <row r="827">
      <c r="B827" s="101"/>
    </row>
    <row r="828">
      <c r="B828" s="101"/>
    </row>
    <row r="829">
      <c r="B829" s="101"/>
    </row>
    <row r="830">
      <c r="B830" s="101"/>
    </row>
    <row r="831">
      <c r="B831" s="101"/>
    </row>
    <row r="832">
      <c r="B832" s="101"/>
    </row>
    <row r="833">
      <c r="B833" s="101"/>
    </row>
    <row r="834">
      <c r="B834" s="101"/>
    </row>
    <row r="835">
      <c r="B835" s="101"/>
    </row>
    <row r="836">
      <c r="B836" s="101"/>
    </row>
    <row r="837">
      <c r="B837" s="101"/>
    </row>
    <row r="838">
      <c r="B838" s="101"/>
    </row>
    <row r="839">
      <c r="B839" s="101"/>
    </row>
    <row r="840">
      <c r="B840" s="101"/>
    </row>
    <row r="841">
      <c r="B841" s="101"/>
    </row>
    <row r="842">
      <c r="B842" s="101"/>
    </row>
    <row r="843">
      <c r="B843" s="101"/>
    </row>
    <row r="844">
      <c r="B844" s="101"/>
    </row>
    <row r="845">
      <c r="B845" s="101"/>
    </row>
    <row r="846">
      <c r="B846" s="101"/>
    </row>
    <row r="847">
      <c r="B847" s="101"/>
    </row>
    <row r="848">
      <c r="B848" s="101"/>
    </row>
    <row r="849">
      <c r="B849" s="101"/>
    </row>
    <row r="850">
      <c r="B850" s="101"/>
    </row>
    <row r="851">
      <c r="B851" s="101"/>
    </row>
    <row r="852">
      <c r="B852" s="101"/>
    </row>
    <row r="853">
      <c r="B853" s="101"/>
    </row>
    <row r="854">
      <c r="B854" s="101"/>
    </row>
    <row r="855">
      <c r="B855" s="101"/>
    </row>
    <row r="856">
      <c r="B856" s="101"/>
    </row>
    <row r="857">
      <c r="B857" s="101"/>
    </row>
    <row r="858">
      <c r="B858" s="101"/>
    </row>
    <row r="859">
      <c r="B859" s="101"/>
    </row>
    <row r="860">
      <c r="B860" s="101"/>
    </row>
    <row r="861">
      <c r="B861" s="101"/>
    </row>
    <row r="862">
      <c r="B862" s="101"/>
    </row>
    <row r="863">
      <c r="B863" s="101"/>
    </row>
    <row r="864">
      <c r="B864" s="101"/>
    </row>
    <row r="865">
      <c r="B865" s="101"/>
    </row>
    <row r="866">
      <c r="B866" s="101"/>
    </row>
    <row r="867">
      <c r="B867" s="101"/>
    </row>
    <row r="868">
      <c r="B868" s="101"/>
    </row>
    <row r="869">
      <c r="B869" s="101"/>
    </row>
    <row r="870">
      <c r="B870" s="101"/>
    </row>
    <row r="871">
      <c r="B871" s="101"/>
    </row>
    <row r="872">
      <c r="B872" s="101"/>
    </row>
    <row r="873">
      <c r="B873" s="101"/>
    </row>
    <row r="874">
      <c r="B874" s="101"/>
    </row>
    <row r="875">
      <c r="B875" s="101"/>
    </row>
    <row r="876">
      <c r="B876" s="101"/>
    </row>
    <row r="877">
      <c r="B877" s="101"/>
    </row>
    <row r="878">
      <c r="B878" s="101"/>
    </row>
    <row r="879">
      <c r="B879" s="101"/>
    </row>
    <row r="880">
      <c r="B880" s="101"/>
    </row>
    <row r="881">
      <c r="B881" s="101"/>
    </row>
    <row r="882">
      <c r="B882" s="101"/>
    </row>
    <row r="883">
      <c r="B883" s="101"/>
    </row>
    <row r="884">
      <c r="B884" s="101"/>
    </row>
    <row r="885">
      <c r="B885" s="101"/>
    </row>
    <row r="886">
      <c r="B886" s="101"/>
    </row>
    <row r="887">
      <c r="B887" s="101"/>
    </row>
    <row r="888">
      <c r="B888" s="101"/>
    </row>
    <row r="889">
      <c r="B889" s="101"/>
    </row>
    <row r="890">
      <c r="B890" s="101"/>
    </row>
    <row r="891">
      <c r="B891" s="101"/>
    </row>
    <row r="892">
      <c r="B892" s="101"/>
    </row>
    <row r="893">
      <c r="B893" s="101"/>
    </row>
    <row r="894">
      <c r="B894" s="101"/>
    </row>
    <row r="895">
      <c r="B895" s="101"/>
    </row>
    <row r="896">
      <c r="B896" s="101"/>
    </row>
    <row r="897">
      <c r="B897" s="101"/>
    </row>
    <row r="898">
      <c r="B898" s="101"/>
    </row>
    <row r="899">
      <c r="B899" s="101"/>
    </row>
    <row r="900">
      <c r="B900" s="101"/>
    </row>
    <row r="901">
      <c r="B901" s="101"/>
    </row>
    <row r="902">
      <c r="B902" s="101"/>
    </row>
    <row r="903">
      <c r="B903" s="101"/>
    </row>
    <row r="904">
      <c r="B904" s="101"/>
    </row>
    <row r="905">
      <c r="B905" s="101"/>
    </row>
    <row r="906">
      <c r="B906" s="101"/>
    </row>
    <row r="907">
      <c r="B907" s="101"/>
    </row>
    <row r="908">
      <c r="B908" s="101"/>
    </row>
    <row r="909">
      <c r="B909" s="101"/>
    </row>
    <row r="910">
      <c r="B910" s="101"/>
    </row>
    <row r="911">
      <c r="B911" s="101"/>
    </row>
    <row r="912">
      <c r="B912" s="101"/>
    </row>
    <row r="913">
      <c r="B913" s="101"/>
    </row>
    <row r="914">
      <c r="B914" s="101"/>
    </row>
    <row r="915">
      <c r="B915" s="101"/>
    </row>
    <row r="916">
      <c r="B916" s="101"/>
    </row>
    <row r="917">
      <c r="B917" s="101"/>
    </row>
    <row r="918">
      <c r="B918" s="101"/>
    </row>
    <row r="919">
      <c r="B919" s="101"/>
    </row>
    <row r="920">
      <c r="B920" s="101"/>
    </row>
    <row r="921">
      <c r="B921" s="101"/>
    </row>
    <row r="922">
      <c r="B922" s="101"/>
    </row>
    <row r="923">
      <c r="B923" s="101"/>
    </row>
    <row r="924">
      <c r="B924" s="101"/>
    </row>
    <row r="925">
      <c r="B925" s="101"/>
    </row>
    <row r="926">
      <c r="B926" s="101"/>
    </row>
    <row r="927">
      <c r="B927" s="101"/>
    </row>
    <row r="928">
      <c r="B928" s="101"/>
    </row>
    <row r="929">
      <c r="B929" s="101"/>
    </row>
    <row r="930">
      <c r="B930" s="101"/>
    </row>
    <row r="931">
      <c r="B931" s="101"/>
    </row>
    <row r="932">
      <c r="B932" s="101"/>
    </row>
    <row r="933">
      <c r="B933" s="101"/>
    </row>
    <row r="934">
      <c r="B934" s="101"/>
    </row>
    <row r="935">
      <c r="B935" s="101"/>
    </row>
    <row r="936">
      <c r="B936" s="101"/>
    </row>
    <row r="937">
      <c r="B937" s="101"/>
    </row>
    <row r="938">
      <c r="B938" s="101"/>
    </row>
    <row r="939">
      <c r="B939" s="101"/>
    </row>
    <row r="940">
      <c r="B940" s="101"/>
    </row>
    <row r="941">
      <c r="B941" s="101"/>
    </row>
    <row r="942">
      <c r="B942" s="101"/>
    </row>
    <row r="943">
      <c r="B943" s="101"/>
    </row>
    <row r="944">
      <c r="B944" s="101"/>
    </row>
    <row r="945">
      <c r="B945" s="101"/>
    </row>
    <row r="946">
      <c r="B946" s="101"/>
    </row>
    <row r="947">
      <c r="B947" s="101"/>
    </row>
    <row r="948">
      <c r="B948" s="101"/>
    </row>
    <row r="949">
      <c r="B949" s="101"/>
    </row>
    <row r="950">
      <c r="B950" s="101"/>
    </row>
    <row r="951">
      <c r="B951" s="101"/>
    </row>
    <row r="952">
      <c r="B952" s="101"/>
    </row>
    <row r="953">
      <c r="B953" s="101"/>
    </row>
    <row r="954">
      <c r="B954" s="101"/>
    </row>
    <row r="955">
      <c r="B955" s="101"/>
    </row>
    <row r="956">
      <c r="B956" s="101"/>
    </row>
    <row r="957">
      <c r="B957" s="101"/>
    </row>
    <row r="958">
      <c r="B958" s="101"/>
    </row>
    <row r="959">
      <c r="B959" s="101"/>
    </row>
    <row r="960">
      <c r="B960" s="101"/>
    </row>
    <row r="961">
      <c r="B961" s="101"/>
    </row>
    <row r="962">
      <c r="B962" s="101"/>
    </row>
    <row r="963">
      <c r="B963" s="101"/>
    </row>
    <row r="964">
      <c r="B964" s="101"/>
    </row>
    <row r="965">
      <c r="B965" s="101"/>
    </row>
    <row r="966">
      <c r="B966" s="101"/>
    </row>
    <row r="967">
      <c r="B967" s="101"/>
    </row>
    <row r="968">
      <c r="B968" s="101"/>
    </row>
    <row r="969">
      <c r="B969" s="101"/>
    </row>
    <row r="970">
      <c r="B970" s="101"/>
    </row>
    <row r="971">
      <c r="B971" s="101"/>
    </row>
    <row r="972">
      <c r="B972" s="101"/>
    </row>
    <row r="973">
      <c r="B973" s="101"/>
    </row>
    <row r="974">
      <c r="B974" s="101"/>
    </row>
    <row r="975">
      <c r="B975" s="101"/>
    </row>
    <row r="976">
      <c r="B976" s="101"/>
    </row>
    <row r="977">
      <c r="B977" s="101"/>
    </row>
    <row r="978">
      <c r="B978" s="101"/>
    </row>
    <row r="979">
      <c r="B979" s="101"/>
    </row>
    <row r="980">
      <c r="B980" s="101"/>
    </row>
    <row r="981">
      <c r="B981" s="101"/>
    </row>
    <row r="982">
      <c r="B982" s="101"/>
    </row>
    <row r="983">
      <c r="B983" s="101"/>
    </row>
    <row r="984">
      <c r="B984" s="101"/>
    </row>
    <row r="985">
      <c r="B985" s="101"/>
    </row>
    <row r="986">
      <c r="B986" s="101"/>
    </row>
    <row r="987">
      <c r="B987" s="101"/>
    </row>
    <row r="988">
      <c r="B988" s="101"/>
    </row>
    <row r="989">
      <c r="B989" s="101"/>
    </row>
    <row r="990">
      <c r="B990" s="101"/>
    </row>
    <row r="991">
      <c r="B991" s="101"/>
    </row>
    <row r="992">
      <c r="B992" s="101"/>
    </row>
    <row r="993">
      <c r="B993" s="101"/>
    </row>
    <row r="994">
      <c r="B994" s="101"/>
    </row>
    <row r="995">
      <c r="B995" s="101"/>
    </row>
    <row r="996">
      <c r="B996" s="101"/>
    </row>
    <row r="997">
      <c r="B997" s="101"/>
    </row>
    <row r="998">
      <c r="B998" s="101"/>
    </row>
    <row r="999">
      <c r="B999" s="101"/>
    </row>
    <row r="1000">
      <c r="B1000" s="101"/>
    </row>
  </sheetData>
  <drawing r:id="rId1"/>
</worksheet>
</file>